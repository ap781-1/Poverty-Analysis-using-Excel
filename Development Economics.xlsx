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1. Full Data" sheetId="1" state="visible" r:id="rId3"/>
    <sheet name="2. Data for top and bottom 10% " sheetId="2" state="visible" r:id="rId4"/>
    <sheet name="3.Income disparity Analysis" sheetId="3" state="visible" r:id="rId5"/>
    <sheet name="4. Growth Rate" sheetId="4" state="visible" r:id="rId6"/>
    <sheet name="5. Data for Matrix(Sort)" sheetId="5" state="visible" r:id="rId7"/>
    <sheet name="6. Mobility Matrix" sheetId="6" state="visible" r:id="rId8"/>
    <sheet name="Lowest 20" sheetId="7" state="hidden" r:id="rId9"/>
    <sheet name="fourth 20" sheetId="8" state="hidden" r:id="rId10"/>
    <sheet name="7. Kuznets Ratio" sheetId="9" state="hidden" r:id="rId11"/>
    <sheet name="7. Alternative Kuznets Curve" sheetId="10" state="visible" r:id="rId12"/>
    <sheet name="Source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<sst xmlns="http://schemas.openxmlformats.org/spreadsheetml/2006/main" count="3551" uniqueCount="619">
  <si>
    <t xml:space="preserve">Series Name</t>
  </si>
  <si>
    <t xml:space="preserve">Series Code</t>
  </si>
  <si>
    <t xml:space="preserve">Country Name</t>
  </si>
  <si>
    <t xml:space="preserve">Country Code</t>
  </si>
  <si>
    <t xml:space="preserve">1990 [YR1990]</t>
  </si>
  <si>
    <t xml:space="preserve">2000 [YR2000]</t>
  </si>
  <si>
    <t xml:space="preserve">2011 [YR2011]</t>
  </si>
  <si>
    <t xml:space="preserve">2012 [YR2012]</t>
  </si>
  <si>
    <t xml:space="preserve">2013 [YR2013]</t>
  </si>
  <si>
    <t xml:space="preserve">2014 [YR2014]</t>
  </si>
  <si>
    <t xml:space="preserve">2015 [YR2015]</t>
  </si>
  <si>
    <t xml:space="preserve">2016 [YR2016]</t>
  </si>
  <si>
    <t xml:space="preserve">2017 [YR2017]</t>
  </si>
  <si>
    <t xml:space="preserve">2018 [YR2018]</t>
  </si>
  <si>
    <t xml:space="preserve">2019 [YR2019]</t>
  </si>
  <si>
    <t xml:space="preserve">2020 [YR2020]</t>
  </si>
  <si>
    <t xml:space="preserve">GNI per capita, PPP (current international $)</t>
  </si>
  <si>
    <t xml:space="preserve">NY.GNP.PCAP.PP.CD</t>
  </si>
  <si>
    <t xml:space="preserve">Afghanistan</t>
  </si>
  <si>
    <t xml:space="preserve">AFG</t>
  </si>
  <si>
    <t xml:space="preserve">..</t>
  </si>
  <si>
    <t xml:space="preserve">Albania</t>
  </si>
  <si>
    <t xml:space="preserve">ALB</t>
  </si>
  <si>
    <t xml:space="preserve">Algeria</t>
  </si>
  <si>
    <t xml:space="preserve">DZA</t>
  </si>
  <si>
    <t xml:space="preserve">American Samoa</t>
  </si>
  <si>
    <t xml:space="preserve">ASM</t>
  </si>
  <si>
    <t xml:space="preserve">Andorra</t>
  </si>
  <si>
    <t xml:space="preserve">AND</t>
  </si>
  <si>
    <t xml:space="preserve">Angola</t>
  </si>
  <si>
    <t xml:space="preserve">AGO</t>
  </si>
  <si>
    <t xml:space="preserve">Antigua and Barbuda</t>
  </si>
  <si>
    <t xml:space="preserve">ATG</t>
  </si>
  <si>
    <t xml:space="preserve">Argentina</t>
  </si>
  <si>
    <t xml:space="preserve">ARG</t>
  </si>
  <si>
    <t xml:space="preserve">Armenia</t>
  </si>
  <si>
    <t xml:space="preserve">ARM</t>
  </si>
  <si>
    <t xml:space="preserve">Aruba</t>
  </si>
  <si>
    <t xml:space="preserve">ABW</t>
  </si>
  <si>
    <t xml:space="preserve">Australia</t>
  </si>
  <si>
    <t xml:space="preserve">AUS</t>
  </si>
  <si>
    <t xml:space="preserve">Austria</t>
  </si>
  <si>
    <t xml:space="preserve">AUT</t>
  </si>
  <si>
    <t xml:space="preserve">Azerbaijan</t>
  </si>
  <si>
    <t xml:space="preserve">AZE</t>
  </si>
  <si>
    <t xml:space="preserve">Bahamas, The</t>
  </si>
  <si>
    <t xml:space="preserve">BHS</t>
  </si>
  <si>
    <t xml:space="preserve">Bahrain</t>
  </si>
  <si>
    <t xml:space="preserve">BHR</t>
  </si>
  <si>
    <t xml:space="preserve">Bangladesh</t>
  </si>
  <si>
    <t xml:space="preserve">BGD</t>
  </si>
  <si>
    <t xml:space="preserve">Barbados</t>
  </si>
  <si>
    <t xml:space="preserve">BRB</t>
  </si>
  <si>
    <t xml:space="preserve">Belarus</t>
  </si>
  <si>
    <t xml:space="preserve">BLR</t>
  </si>
  <si>
    <t xml:space="preserve">Belgium</t>
  </si>
  <si>
    <t xml:space="preserve">BEL</t>
  </si>
  <si>
    <t xml:space="preserve">Belize</t>
  </si>
  <si>
    <t xml:space="preserve">BLZ</t>
  </si>
  <si>
    <t xml:space="preserve">Benin</t>
  </si>
  <si>
    <t xml:space="preserve">BEN</t>
  </si>
  <si>
    <t xml:space="preserve">Bermuda</t>
  </si>
  <si>
    <t xml:space="preserve">BMU</t>
  </si>
  <si>
    <t xml:space="preserve">Bhutan</t>
  </si>
  <si>
    <t xml:space="preserve">BTN</t>
  </si>
  <si>
    <t xml:space="preserve">Bolivia</t>
  </si>
  <si>
    <t xml:space="preserve">BOL</t>
  </si>
  <si>
    <t xml:space="preserve">Bosnia and Herzegovina</t>
  </si>
  <si>
    <t xml:space="preserve">BIH</t>
  </si>
  <si>
    <t xml:space="preserve">Botswana</t>
  </si>
  <si>
    <t xml:space="preserve">BWA</t>
  </si>
  <si>
    <t xml:space="preserve">Brazil</t>
  </si>
  <si>
    <t xml:space="preserve">BRA</t>
  </si>
  <si>
    <t xml:space="preserve">British Virgin Islands</t>
  </si>
  <si>
    <t xml:space="preserve">VGB</t>
  </si>
  <si>
    <t xml:space="preserve">Brunei Darussalam</t>
  </si>
  <si>
    <t xml:space="preserve">BRN</t>
  </si>
  <si>
    <t xml:space="preserve">Bulgaria</t>
  </si>
  <si>
    <t xml:space="preserve">BGR</t>
  </si>
  <si>
    <t xml:space="preserve">Burkina Faso</t>
  </si>
  <si>
    <t xml:space="preserve">BFA</t>
  </si>
  <si>
    <t xml:space="preserve">Burundi</t>
  </si>
  <si>
    <t xml:space="preserve">BDI</t>
  </si>
  <si>
    <t xml:space="preserve">Cabo Verde</t>
  </si>
  <si>
    <t xml:space="preserve">CPV</t>
  </si>
  <si>
    <t xml:space="preserve">Cambodia</t>
  </si>
  <si>
    <t xml:space="preserve">KHM</t>
  </si>
  <si>
    <t xml:space="preserve">Cameroon</t>
  </si>
  <si>
    <t xml:space="preserve">CMR</t>
  </si>
  <si>
    <t xml:space="preserve">Canada</t>
  </si>
  <si>
    <t xml:space="preserve">CAN</t>
  </si>
  <si>
    <t xml:space="preserve">Cayman Islands</t>
  </si>
  <si>
    <t xml:space="preserve">CYM</t>
  </si>
  <si>
    <t xml:space="preserve">Central African Republic</t>
  </si>
  <si>
    <t xml:space="preserve">CAF</t>
  </si>
  <si>
    <t xml:space="preserve">Chad</t>
  </si>
  <si>
    <t xml:space="preserve">TCD</t>
  </si>
  <si>
    <t xml:space="preserve">Channel Islands</t>
  </si>
  <si>
    <t xml:space="preserve">CHI</t>
  </si>
  <si>
    <t xml:space="preserve">Chile</t>
  </si>
  <si>
    <t xml:space="preserve">CHL</t>
  </si>
  <si>
    <t xml:space="preserve">China</t>
  </si>
  <si>
    <t xml:space="preserve">CHN</t>
  </si>
  <si>
    <t xml:space="preserve">Colombia</t>
  </si>
  <si>
    <t xml:space="preserve">COL</t>
  </si>
  <si>
    <t xml:space="preserve">Comoros</t>
  </si>
  <si>
    <t xml:space="preserve">COM</t>
  </si>
  <si>
    <t xml:space="preserve">Congo, Dem. Rep.</t>
  </si>
  <si>
    <t xml:space="preserve">COD</t>
  </si>
  <si>
    <t xml:space="preserve">Congo, Rep.</t>
  </si>
  <si>
    <t xml:space="preserve">COG</t>
  </si>
  <si>
    <t xml:space="preserve">Costa Rica</t>
  </si>
  <si>
    <t xml:space="preserve">CRI</t>
  </si>
  <si>
    <t xml:space="preserve">Cote d'Ivoire</t>
  </si>
  <si>
    <t xml:space="preserve">CIV</t>
  </si>
  <si>
    <t xml:space="preserve">Croatia</t>
  </si>
  <si>
    <t xml:space="preserve">HRV</t>
  </si>
  <si>
    <t xml:space="preserve">Cuba</t>
  </si>
  <si>
    <t xml:space="preserve">CUB</t>
  </si>
  <si>
    <t xml:space="preserve">Curacao</t>
  </si>
  <si>
    <t xml:space="preserve">CUW</t>
  </si>
  <si>
    <t xml:space="preserve">Cyprus</t>
  </si>
  <si>
    <t xml:space="preserve">CYP</t>
  </si>
  <si>
    <t xml:space="preserve">Czech Republic</t>
  </si>
  <si>
    <t xml:space="preserve">CZE</t>
  </si>
  <si>
    <t xml:space="preserve">Denmark</t>
  </si>
  <si>
    <t xml:space="preserve">DNK</t>
  </si>
  <si>
    <t xml:space="preserve">Djibouti</t>
  </si>
  <si>
    <t xml:space="preserve">DJI</t>
  </si>
  <si>
    <t xml:space="preserve">Dominica</t>
  </si>
  <si>
    <t xml:space="preserve">DMA</t>
  </si>
  <si>
    <t xml:space="preserve">Dominican Republic</t>
  </si>
  <si>
    <t xml:space="preserve">DOM</t>
  </si>
  <si>
    <t xml:space="preserve">Ecuador</t>
  </si>
  <si>
    <t xml:space="preserve">ECU</t>
  </si>
  <si>
    <t xml:space="preserve">Egypt, Arab Rep.</t>
  </si>
  <si>
    <t xml:space="preserve">EGY</t>
  </si>
  <si>
    <t xml:space="preserve">El Salvador</t>
  </si>
  <si>
    <t xml:space="preserve">SLV</t>
  </si>
  <si>
    <t xml:space="preserve">Equatorial Guinea</t>
  </si>
  <si>
    <t xml:space="preserve">GNQ</t>
  </si>
  <si>
    <t xml:space="preserve">Eritrea</t>
  </si>
  <si>
    <t xml:space="preserve">ERI</t>
  </si>
  <si>
    <t xml:space="preserve">Estonia</t>
  </si>
  <si>
    <t xml:space="preserve">EST</t>
  </si>
  <si>
    <t xml:space="preserve">Eswatini</t>
  </si>
  <si>
    <t xml:space="preserve">SWZ</t>
  </si>
  <si>
    <t xml:space="preserve">Ethiopia</t>
  </si>
  <si>
    <t xml:space="preserve">ETH</t>
  </si>
  <si>
    <t xml:space="preserve">Faroe Islands</t>
  </si>
  <si>
    <t xml:space="preserve">FRO</t>
  </si>
  <si>
    <t xml:space="preserve">Fiji</t>
  </si>
  <si>
    <t xml:space="preserve">FJI</t>
  </si>
  <si>
    <t xml:space="preserve">Finland</t>
  </si>
  <si>
    <t xml:space="preserve">FIN</t>
  </si>
  <si>
    <t xml:space="preserve">France</t>
  </si>
  <si>
    <t xml:space="preserve">FRA</t>
  </si>
  <si>
    <t xml:space="preserve">French Polynesia</t>
  </si>
  <si>
    <t xml:space="preserve">PYF</t>
  </si>
  <si>
    <t xml:space="preserve">Gabon</t>
  </si>
  <si>
    <t xml:space="preserve">GAB</t>
  </si>
  <si>
    <t xml:space="preserve">Gambia, The</t>
  </si>
  <si>
    <t xml:space="preserve">GMB</t>
  </si>
  <si>
    <t xml:space="preserve">Georgia</t>
  </si>
  <si>
    <t xml:space="preserve">GEO</t>
  </si>
  <si>
    <t xml:space="preserve">Germany</t>
  </si>
  <si>
    <t xml:space="preserve">DEU</t>
  </si>
  <si>
    <t xml:space="preserve">Ghana</t>
  </si>
  <si>
    <t xml:space="preserve">GHA</t>
  </si>
  <si>
    <t xml:space="preserve">Gibraltar</t>
  </si>
  <si>
    <t xml:space="preserve">GIB</t>
  </si>
  <si>
    <t xml:space="preserve">Greece</t>
  </si>
  <si>
    <t xml:space="preserve">GRC</t>
  </si>
  <si>
    <t xml:space="preserve">Greenland</t>
  </si>
  <si>
    <t xml:space="preserve">GRL</t>
  </si>
  <si>
    <t xml:space="preserve">Grenada</t>
  </si>
  <si>
    <t xml:space="preserve">GRD</t>
  </si>
  <si>
    <t xml:space="preserve">Guam</t>
  </si>
  <si>
    <t xml:space="preserve">GUM</t>
  </si>
  <si>
    <t xml:space="preserve">Guatemala</t>
  </si>
  <si>
    <t xml:space="preserve">GTM</t>
  </si>
  <si>
    <t xml:space="preserve">Guinea</t>
  </si>
  <si>
    <t xml:space="preserve">GIN</t>
  </si>
  <si>
    <t xml:space="preserve">Guinea-Bissau</t>
  </si>
  <si>
    <t xml:space="preserve">GNB</t>
  </si>
  <si>
    <t xml:space="preserve">Guyana</t>
  </si>
  <si>
    <t xml:space="preserve">GUY</t>
  </si>
  <si>
    <t xml:space="preserve">Haiti</t>
  </si>
  <si>
    <t xml:space="preserve">HTI</t>
  </si>
  <si>
    <t xml:space="preserve">Honduras</t>
  </si>
  <si>
    <t xml:space="preserve">HND</t>
  </si>
  <si>
    <t xml:space="preserve">Hong Kong SAR, China</t>
  </si>
  <si>
    <t xml:space="preserve">HKG</t>
  </si>
  <si>
    <t xml:space="preserve">Hungary</t>
  </si>
  <si>
    <t xml:space="preserve">HUN</t>
  </si>
  <si>
    <t xml:space="preserve">Iceland</t>
  </si>
  <si>
    <t xml:space="preserve">ISL</t>
  </si>
  <si>
    <t xml:space="preserve">India</t>
  </si>
  <si>
    <t xml:space="preserve">IND</t>
  </si>
  <si>
    <t xml:space="preserve">Indonesia</t>
  </si>
  <si>
    <t xml:space="preserve">IDN</t>
  </si>
  <si>
    <t xml:space="preserve">Iran, Islamic Rep.</t>
  </si>
  <si>
    <t xml:space="preserve">IRN</t>
  </si>
  <si>
    <t xml:space="preserve">Iraq</t>
  </si>
  <si>
    <t xml:space="preserve">IRQ</t>
  </si>
  <si>
    <t xml:space="preserve">Ireland</t>
  </si>
  <si>
    <t xml:space="preserve">IRL</t>
  </si>
  <si>
    <t xml:space="preserve">Isle of Man</t>
  </si>
  <si>
    <t xml:space="preserve">IMN</t>
  </si>
  <si>
    <t xml:space="preserve">Israel</t>
  </si>
  <si>
    <t xml:space="preserve">ISR</t>
  </si>
  <si>
    <t xml:space="preserve">Italy</t>
  </si>
  <si>
    <t xml:space="preserve">ITA</t>
  </si>
  <si>
    <t xml:space="preserve">Jamaica</t>
  </si>
  <si>
    <t xml:space="preserve">JAM</t>
  </si>
  <si>
    <t xml:space="preserve">Japan</t>
  </si>
  <si>
    <t xml:space="preserve">JPN</t>
  </si>
  <si>
    <t xml:space="preserve">Jordan</t>
  </si>
  <si>
    <t xml:space="preserve">JOR</t>
  </si>
  <si>
    <t xml:space="preserve">Kazakhstan</t>
  </si>
  <si>
    <t xml:space="preserve">KAZ</t>
  </si>
  <si>
    <t xml:space="preserve">Kenya</t>
  </si>
  <si>
    <t xml:space="preserve">KEN</t>
  </si>
  <si>
    <t xml:space="preserve">Kiribati</t>
  </si>
  <si>
    <t xml:space="preserve">KIR</t>
  </si>
  <si>
    <t xml:space="preserve">Korea, Dem. People's Rep.</t>
  </si>
  <si>
    <t xml:space="preserve">PRK</t>
  </si>
  <si>
    <t xml:space="preserve">Korea, Rep.</t>
  </si>
  <si>
    <t xml:space="preserve">KOR</t>
  </si>
  <si>
    <t xml:space="preserve">Kosovo</t>
  </si>
  <si>
    <t xml:space="preserve">XKX</t>
  </si>
  <si>
    <t xml:space="preserve">Kuwait</t>
  </si>
  <si>
    <t xml:space="preserve">KWT</t>
  </si>
  <si>
    <t xml:space="preserve">Kyrgyz Republic</t>
  </si>
  <si>
    <t xml:space="preserve">KGZ</t>
  </si>
  <si>
    <t xml:space="preserve">Lao PDR</t>
  </si>
  <si>
    <t xml:space="preserve">LAO</t>
  </si>
  <si>
    <t xml:space="preserve">Latvia</t>
  </si>
  <si>
    <t xml:space="preserve">LVA</t>
  </si>
  <si>
    <t xml:space="preserve">Lebanon</t>
  </si>
  <si>
    <t xml:space="preserve">LBN</t>
  </si>
  <si>
    <t xml:space="preserve">Lesotho</t>
  </si>
  <si>
    <t xml:space="preserve">LSO</t>
  </si>
  <si>
    <t xml:space="preserve">Liberia</t>
  </si>
  <si>
    <t xml:space="preserve">LBR</t>
  </si>
  <si>
    <t xml:space="preserve">Libya</t>
  </si>
  <si>
    <t xml:space="preserve">LBY</t>
  </si>
  <si>
    <t xml:space="preserve">Liechtenstein</t>
  </si>
  <si>
    <t xml:space="preserve">LIE</t>
  </si>
  <si>
    <t xml:space="preserve">Lithuania</t>
  </si>
  <si>
    <t xml:space="preserve">LTU</t>
  </si>
  <si>
    <t xml:space="preserve">Luxembourg</t>
  </si>
  <si>
    <t xml:space="preserve">LUX</t>
  </si>
  <si>
    <t xml:space="preserve">Macao SAR, China</t>
  </si>
  <si>
    <t xml:space="preserve">MAC</t>
  </si>
  <si>
    <t xml:space="preserve">Madagascar</t>
  </si>
  <si>
    <t xml:space="preserve">MDG</t>
  </si>
  <si>
    <t xml:space="preserve">Malawi</t>
  </si>
  <si>
    <t xml:space="preserve">MWI</t>
  </si>
  <si>
    <t xml:space="preserve">Malaysia</t>
  </si>
  <si>
    <t xml:space="preserve">MYS</t>
  </si>
  <si>
    <t xml:space="preserve">Maldives</t>
  </si>
  <si>
    <t xml:space="preserve">MDV</t>
  </si>
  <si>
    <t xml:space="preserve">Mali</t>
  </si>
  <si>
    <t xml:space="preserve">MLI</t>
  </si>
  <si>
    <t xml:space="preserve">Malta</t>
  </si>
  <si>
    <t xml:space="preserve">MLT</t>
  </si>
  <si>
    <t xml:space="preserve">Marshall Islands</t>
  </si>
  <si>
    <t xml:space="preserve">MHL</t>
  </si>
  <si>
    <t xml:space="preserve">Mauritania</t>
  </si>
  <si>
    <t xml:space="preserve">MRT</t>
  </si>
  <si>
    <t xml:space="preserve">Mauritius</t>
  </si>
  <si>
    <t xml:space="preserve">MUS</t>
  </si>
  <si>
    <t xml:space="preserve">Mexico</t>
  </si>
  <si>
    <t xml:space="preserve">MEX</t>
  </si>
  <si>
    <t xml:space="preserve">Micronesia, Fed. Sts.</t>
  </si>
  <si>
    <t xml:space="preserve">FSM</t>
  </si>
  <si>
    <t xml:space="preserve">Moldova</t>
  </si>
  <si>
    <t xml:space="preserve">MDA</t>
  </si>
  <si>
    <t xml:space="preserve">Monaco</t>
  </si>
  <si>
    <t xml:space="preserve">MCO</t>
  </si>
  <si>
    <t xml:space="preserve">Mongolia</t>
  </si>
  <si>
    <t xml:space="preserve">MNG</t>
  </si>
  <si>
    <t xml:space="preserve">Montenegro</t>
  </si>
  <si>
    <t xml:space="preserve">MNE</t>
  </si>
  <si>
    <t xml:space="preserve">Morocco</t>
  </si>
  <si>
    <t xml:space="preserve">MAR</t>
  </si>
  <si>
    <t xml:space="preserve">Mozambique</t>
  </si>
  <si>
    <t xml:space="preserve">MOZ</t>
  </si>
  <si>
    <t xml:space="preserve">Myanmar</t>
  </si>
  <si>
    <t xml:space="preserve">MMR</t>
  </si>
  <si>
    <t xml:space="preserve">Namibia</t>
  </si>
  <si>
    <t xml:space="preserve">NAM</t>
  </si>
  <si>
    <t xml:space="preserve">Nauru</t>
  </si>
  <si>
    <t xml:space="preserve">NRU</t>
  </si>
  <si>
    <t xml:space="preserve">Nepal</t>
  </si>
  <si>
    <t xml:space="preserve">NPL</t>
  </si>
  <si>
    <t xml:space="preserve">Netherlands</t>
  </si>
  <si>
    <t xml:space="preserve">NLD</t>
  </si>
  <si>
    <t xml:space="preserve">New Caledonia</t>
  </si>
  <si>
    <t xml:space="preserve">NCL</t>
  </si>
  <si>
    <t xml:space="preserve">New Zealand</t>
  </si>
  <si>
    <t xml:space="preserve">NZL</t>
  </si>
  <si>
    <t xml:space="preserve">Nicaragua</t>
  </si>
  <si>
    <t xml:space="preserve">NIC</t>
  </si>
  <si>
    <t xml:space="preserve">Niger</t>
  </si>
  <si>
    <t xml:space="preserve">NER</t>
  </si>
  <si>
    <t xml:space="preserve">Nigeria</t>
  </si>
  <si>
    <t xml:space="preserve">NGA</t>
  </si>
  <si>
    <t xml:space="preserve">North Macedonia</t>
  </si>
  <si>
    <t xml:space="preserve">MKD</t>
  </si>
  <si>
    <t xml:space="preserve">Northern Mariana Islands</t>
  </si>
  <si>
    <t xml:space="preserve">MNP</t>
  </si>
  <si>
    <t xml:space="preserve">Norway</t>
  </si>
  <si>
    <t xml:space="preserve">NOR</t>
  </si>
  <si>
    <t xml:space="preserve">Oman</t>
  </si>
  <si>
    <t xml:space="preserve">OMN</t>
  </si>
  <si>
    <t xml:space="preserve">Pakistan</t>
  </si>
  <si>
    <t xml:space="preserve">PAK</t>
  </si>
  <si>
    <t xml:space="preserve">Palau</t>
  </si>
  <si>
    <t xml:space="preserve">PLW</t>
  </si>
  <si>
    <t xml:space="preserve">Panama</t>
  </si>
  <si>
    <t xml:space="preserve">PAN</t>
  </si>
  <si>
    <t xml:space="preserve">Papua New Guinea</t>
  </si>
  <si>
    <t xml:space="preserve">PNG</t>
  </si>
  <si>
    <t xml:space="preserve">Paraguay</t>
  </si>
  <si>
    <t xml:space="preserve">PRY</t>
  </si>
  <si>
    <t xml:space="preserve">Peru</t>
  </si>
  <si>
    <t xml:space="preserve">PER</t>
  </si>
  <si>
    <t xml:space="preserve">Philippines</t>
  </si>
  <si>
    <t xml:space="preserve">PHL</t>
  </si>
  <si>
    <t xml:space="preserve">Poland</t>
  </si>
  <si>
    <t xml:space="preserve">POL</t>
  </si>
  <si>
    <t xml:space="preserve">Portugal</t>
  </si>
  <si>
    <t xml:space="preserve">PRT</t>
  </si>
  <si>
    <t xml:space="preserve">Puerto Rico</t>
  </si>
  <si>
    <t xml:space="preserve">PRI</t>
  </si>
  <si>
    <t xml:space="preserve">Qatar</t>
  </si>
  <si>
    <t xml:space="preserve">QAT</t>
  </si>
  <si>
    <t xml:space="preserve">Romania</t>
  </si>
  <si>
    <t xml:space="preserve">ROU</t>
  </si>
  <si>
    <t xml:space="preserve">Russian Federation</t>
  </si>
  <si>
    <t xml:space="preserve">RUS</t>
  </si>
  <si>
    <t xml:space="preserve">Rwanda</t>
  </si>
  <si>
    <t xml:space="preserve">RWA</t>
  </si>
  <si>
    <t xml:space="preserve">Samoa</t>
  </si>
  <si>
    <t xml:space="preserve">WSM</t>
  </si>
  <si>
    <t xml:space="preserve">San Marino</t>
  </si>
  <si>
    <t xml:space="preserve">SMR</t>
  </si>
  <si>
    <t xml:space="preserve">Sao Tome and Principe</t>
  </si>
  <si>
    <t xml:space="preserve">STP</t>
  </si>
  <si>
    <t xml:space="preserve">Saudi Arabia</t>
  </si>
  <si>
    <t xml:space="preserve">SAU</t>
  </si>
  <si>
    <t xml:space="preserve">Senegal</t>
  </si>
  <si>
    <t xml:space="preserve">SEN</t>
  </si>
  <si>
    <t xml:space="preserve">Serbia</t>
  </si>
  <si>
    <t xml:space="preserve">SRB</t>
  </si>
  <si>
    <t xml:space="preserve">Seychelles</t>
  </si>
  <si>
    <t xml:space="preserve">SYC</t>
  </si>
  <si>
    <t xml:space="preserve">Sierra Leone</t>
  </si>
  <si>
    <t xml:space="preserve">SLE</t>
  </si>
  <si>
    <t xml:space="preserve">Singapore</t>
  </si>
  <si>
    <t xml:space="preserve">SGP</t>
  </si>
  <si>
    <t xml:space="preserve">Sint Maarten (Dutch part)</t>
  </si>
  <si>
    <t xml:space="preserve">SXM</t>
  </si>
  <si>
    <t xml:space="preserve">Slovak Republic</t>
  </si>
  <si>
    <t xml:space="preserve">SVK</t>
  </si>
  <si>
    <t xml:space="preserve">Slovenia</t>
  </si>
  <si>
    <t xml:space="preserve">SVN</t>
  </si>
  <si>
    <t xml:space="preserve">Solomon Islands</t>
  </si>
  <si>
    <t xml:space="preserve">SLB</t>
  </si>
  <si>
    <t xml:space="preserve">Somalia</t>
  </si>
  <si>
    <t xml:space="preserve">SOM</t>
  </si>
  <si>
    <t xml:space="preserve">South Africa</t>
  </si>
  <si>
    <t xml:space="preserve">ZAF</t>
  </si>
  <si>
    <t xml:space="preserve">South Sudan</t>
  </si>
  <si>
    <t xml:space="preserve">SSD</t>
  </si>
  <si>
    <t xml:space="preserve">Spain</t>
  </si>
  <si>
    <t xml:space="preserve">ESP</t>
  </si>
  <si>
    <t xml:space="preserve">Sri Lanka</t>
  </si>
  <si>
    <t xml:space="preserve">LKA</t>
  </si>
  <si>
    <t xml:space="preserve">St. Kitts and Nevis</t>
  </si>
  <si>
    <t xml:space="preserve">KNA</t>
  </si>
  <si>
    <t xml:space="preserve">St. Lucia</t>
  </si>
  <si>
    <t xml:space="preserve">LCA</t>
  </si>
  <si>
    <t xml:space="preserve">St. Martin (French part)</t>
  </si>
  <si>
    <t xml:space="preserve">MAF</t>
  </si>
  <si>
    <t xml:space="preserve">St. Vincent and the Grenadines</t>
  </si>
  <si>
    <t xml:space="preserve">VCT</t>
  </si>
  <si>
    <t xml:space="preserve">Sudan</t>
  </si>
  <si>
    <t xml:space="preserve">SDN</t>
  </si>
  <si>
    <t xml:space="preserve">Suriname</t>
  </si>
  <si>
    <t xml:space="preserve">SUR</t>
  </si>
  <si>
    <t xml:space="preserve">Sweden</t>
  </si>
  <si>
    <t xml:space="preserve">SWE</t>
  </si>
  <si>
    <t xml:space="preserve">Switzerland</t>
  </si>
  <si>
    <t xml:space="preserve">CHE</t>
  </si>
  <si>
    <t xml:space="preserve">Syrian Arab Republic</t>
  </si>
  <si>
    <t xml:space="preserve">SYR</t>
  </si>
  <si>
    <t xml:space="preserve">Tajikistan</t>
  </si>
  <si>
    <t xml:space="preserve">TJK</t>
  </si>
  <si>
    <t xml:space="preserve">Tanzania</t>
  </si>
  <si>
    <t xml:space="preserve">TZA</t>
  </si>
  <si>
    <t xml:space="preserve">Thailand</t>
  </si>
  <si>
    <t xml:space="preserve">THA</t>
  </si>
  <si>
    <t xml:space="preserve">Timor-Leste</t>
  </si>
  <si>
    <t xml:space="preserve">TLS</t>
  </si>
  <si>
    <t xml:space="preserve">Togo</t>
  </si>
  <si>
    <t xml:space="preserve">TGO</t>
  </si>
  <si>
    <t xml:space="preserve">Tonga</t>
  </si>
  <si>
    <t xml:space="preserve">TON</t>
  </si>
  <si>
    <t xml:space="preserve">Trinidad and Tobago</t>
  </si>
  <si>
    <t xml:space="preserve">TTO</t>
  </si>
  <si>
    <t xml:space="preserve">Tunisia</t>
  </si>
  <si>
    <t xml:space="preserve">TUN</t>
  </si>
  <si>
    <t xml:space="preserve">Turkey</t>
  </si>
  <si>
    <t xml:space="preserve">TUR</t>
  </si>
  <si>
    <t xml:space="preserve">Turkmenistan</t>
  </si>
  <si>
    <t xml:space="preserve">TKM</t>
  </si>
  <si>
    <t xml:space="preserve">Turks and Caicos Islands</t>
  </si>
  <si>
    <t xml:space="preserve">TCA</t>
  </si>
  <si>
    <t xml:space="preserve">Tuvalu</t>
  </si>
  <si>
    <t xml:space="preserve">TUV</t>
  </si>
  <si>
    <t xml:space="preserve">Uganda</t>
  </si>
  <si>
    <t xml:space="preserve">UGA</t>
  </si>
  <si>
    <t xml:space="preserve">Ukraine</t>
  </si>
  <si>
    <t xml:space="preserve">UKR</t>
  </si>
  <si>
    <t xml:space="preserve">United Arab Emirates</t>
  </si>
  <si>
    <t xml:space="preserve">ARE</t>
  </si>
  <si>
    <t xml:space="preserve">United Kingdom</t>
  </si>
  <si>
    <t xml:space="preserve">GBR</t>
  </si>
  <si>
    <t xml:space="preserve">United States</t>
  </si>
  <si>
    <t xml:space="preserve">USA</t>
  </si>
  <si>
    <t xml:space="preserve">Uruguay</t>
  </si>
  <si>
    <t xml:space="preserve">URY</t>
  </si>
  <si>
    <t xml:space="preserve">Uzbekistan</t>
  </si>
  <si>
    <t xml:space="preserve">UZB</t>
  </si>
  <si>
    <t xml:space="preserve">Vanuatu</t>
  </si>
  <si>
    <t xml:space="preserve">VUT</t>
  </si>
  <si>
    <t xml:space="preserve">Venezuela, RB</t>
  </si>
  <si>
    <t xml:space="preserve">VEN</t>
  </si>
  <si>
    <t xml:space="preserve">Vietnam</t>
  </si>
  <si>
    <t xml:space="preserve">VNM</t>
  </si>
  <si>
    <t xml:space="preserve">Virgin Islands (U.S.)</t>
  </si>
  <si>
    <t xml:space="preserve">VIR</t>
  </si>
  <si>
    <t xml:space="preserve">West Bank and Gaza</t>
  </si>
  <si>
    <t xml:space="preserve">PSE</t>
  </si>
  <si>
    <t xml:space="preserve">Yemen, Rep.</t>
  </si>
  <si>
    <t xml:space="preserve">YEM</t>
  </si>
  <si>
    <t xml:space="preserve">Zambia</t>
  </si>
  <si>
    <t xml:space="preserve">ZMB</t>
  </si>
  <si>
    <t xml:space="preserve">Zimbabwe</t>
  </si>
  <si>
    <t xml:space="preserve">ZWE</t>
  </si>
  <si>
    <t xml:space="preserve">Africa Eastern and Southern</t>
  </si>
  <si>
    <t xml:space="preserve">AFE</t>
  </si>
  <si>
    <t xml:space="preserve">Africa Western and Central</t>
  </si>
  <si>
    <t xml:space="preserve">AFW</t>
  </si>
  <si>
    <t xml:space="preserve">Arab World</t>
  </si>
  <si>
    <t xml:space="preserve">ARB</t>
  </si>
  <si>
    <t xml:space="preserve">Caribbean small states</t>
  </si>
  <si>
    <t xml:space="preserve">CSS</t>
  </si>
  <si>
    <t xml:space="preserve">Central Europe and the Baltics</t>
  </si>
  <si>
    <t xml:space="preserve">CEB</t>
  </si>
  <si>
    <t xml:space="preserve">Early-demographic dividend</t>
  </si>
  <si>
    <t xml:space="preserve">EAR</t>
  </si>
  <si>
    <t xml:space="preserve">East Asia &amp; Pacific</t>
  </si>
  <si>
    <t xml:space="preserve">EAS</t>
  </si>
  <si>
    <t xml:space="preserve">East Asia &amp; Pacific (excluding high income)</t>
  </si>
  <si>
    <t xml:space="preserve">EAP</t>
  </si>
  <si>
    <t xml:space="preserve">East Asia &amp; Pacific (IDA &amp; IBRD countries)</t>
  </si>
  <si>
    <t xml:space="preserve">TEA</t>
  </si>
  <si>
    <t xml:space="preserve">Euro area</t>
  </si>
  <si>
    <t xml:space="preserve">EMU</t>
  </si>
  <si>
    <t xml:space="preserve">Europe &amp; Central Asia</t>
  </si>
  <si>
    <t xml:space="preserve">ECS</t>
  </si>
  <si>
    <t xml:space="preserve">Europe &amp; Central Asia (excluding high income)</t>
  </si>
  <si>
    <t xml:space="preserve">ECA</t>
  </si>
  <si>
    <t xml:space="preserve">Europe &amp; Central Asia (IDA &amp; IBRD countries)</t>
  </si>
  <si>
    <t xml:space="preserve">TEC</t>
  </si>
  <si>
    <t xml:space="preserve">European Union</t>
  </si>
  <si>
    <t xml:space="preserve">EUU</t>
  </si>
  <si>
    <t xml:space="preserve">Fragile and conflict affected situations</t>
  </si>
  <si>
    <t xml:space="preserve">FCS</t>
  </si>
  <si>
    <t xml:space="preserve">Heavily indebted poor countries (HIPC)</t>
  </si>
  <si>
    <t xml:space="preserve">HPC</t>
  </si>
  <si>
    <t xml:space="preserve">High income</t>
  </si>
  <si>
    <t xml:space="preserve">HIC</t>
  </si>
  <si>
    <t xml:space="preserve">IBRD only</t>
  </si>
  <si>
    <t xml:space="preserve">IBD</t>
  </si>
  <si>
    <t xml:space="preserve">IDA &amp; IBRD total</t>
  </si>
  <si>
    <t xml:space="preserve">IBT</t>
  </si>
  <si>
    <t xml:space="preserve">IDA blend</t>
  </si>
  <si>
    <t xml:space="preserve">IDB</t>
  </si>
  <si>
    <t xml:space="preserve">IDA only</t>
  </si>
  <si>
    <t xml:space="preserve">IDX</t>
  </si>
  <si>
    <t xml:space="preserve">IDA total</t>
  </si>
  <si>
    <t xml:space="preserve">IDA</t>
  </si>
  <si>
    <t xml:space="preserve">Late-demographic dividend</t>
  </si>
  <si>
    <t xml:space="preserve">LTE</t>
  </si>
  <si>
    <t xml:space="preserve">Latin America &amp; Caribbean</t>
  </si>
  <si>
    <t xml:space="preserve">LCN</t>
  </si>
  <si>
    <t xml:space="preserve">Latin America &amp; Caribbean (excluding high income)</t>
  </si>
  <si>
    <t xml:space="preserve">LAC</t>
  </si>
  <si>
    <t xml:space="preserve">Latin America &amp; the Caribbean (IDA &amp; IBRD countries)</t>
  </si>
  <si>
    <t xml:space="preserve">TLA</t>
  </si>
  <si>
    <t xml:space="preserve">Least developed countries: UN classification</t>
  </si>
  <si>
    <t xml:space="preserve">LDC</t>
  </si>
  <si>
    <t xml:space="preserve">Low &amp; middle income</t>
  </si>
  <si>
    <t xml:space="preserve">LMY</t>
  </si>
  <si>
    <t xml:space="preserve">Low income</t>
  </si>
  <si>
    <t xml:space="preserve">LIC</t>
  </si>
  <si>
    <t xml:space="preserve">Lower middle income</t>
  </si>
  <si>
    <t xml:space="preserve">LMC</t>
  </si>
  <si>
    <t xml:space="preserve">Middle East &amp; North Africa</t>
  </si>
  <si>
    <t xml:space="preserve">MEA</t>
  </si>
  <si>
    <t xml:space="preserve">Middle East &amp; North Africa (excluding high income)</t>
  </si>
  <si>
    <t xml:space="preserve">MNA</t>
  </si>
  <si>
    <t xml:space="preserve">Middle East &amp; North Africa (IDA &amp; IBRD countries)</t>
  </si>
  <si>
    <t xml:space="preserve">TMN</t>
  </si>
  <si>
    <t xml:space="preserve">Middle income</t>
  </si>
  <si>
    <t xml:space="preserve">MIC</t>
  </si>
  <si>
    <t xml:space="preserve">North America</t>
  </si>
  <si>
    <t xml:space="preserve">NAC</t>
  </si>
  <si>
    <t xml:space="preserve">Not classified</t>
  </si>
  <si>
    <t xml:space="preserve">INX</t>
  </si>
  <si>
    <t xml:space="preserve">OECD members</t>
  </si>
  <si>
    <t xml:space="preserve">OED</t>
  </si>
  <si>
    <t xml:space="preserve">Other small states</t>
  </si>
  <si>
    <t xml:space="preserve">OSS</t>
  </si>
  <si>
    <t xml:space="preserve">Pacific island small states</t>
  </si>
  <si>
    <t xml:space="preserve">PSS</t>
  </si>
  <si>
    <t xml:space="preserve">Post-demographic dividend</t>
  </si>
  <si>
    <t xml:space="preserve">PST</t>
  </si>
  <si>
    <t xml:space="preserve">Pre-demographic dividend</t>
  </si>
  <si>
    <t xml:space="preserve">PRE</t>
  </si>
  <si>
    <t xml:space="preserve">Small states</t>
  </si>
  <si>
    <t xml:space="preserve">SST</t>
  </si>
  <si>
    <t xml:space="preserve">South Asia</t>
  </si>
  <si>
    <t xml:space="preserve">SAS</t>
  </si>
  <si>
    <t xml:space="preserve">South Asia (IDA &amp; IBRD)</t>
  </si>
  <si>
    <t xml:space="preserve">TSA</t>
  </si>
  <si>
    <t xml:space="preserve">Sub-Saharan Africa</t>
  </si>
  <si>
    <t xml:space="preserve">SSF</t>
  </si>
  <si>
    <t xml:space="preserve">Sub-Saharan Africa (excluding high income)</t>
  </si>
  <si>
    <t xml:space="preserve">SSA</t>
  </si>
  <si>
    <t xml:space="preserve">Sub-Saharan Africa (IDA &amp; IBRD countries)</t>
  </si>
  <si>
    <t xml:space="preserve">TSS</t>
  </si>
  <si>
    <t xml:space="preserve">Upper middle income</t>
  </si>
  <si>
    <t xml:space="preserve">UMC</t>
  </si>
  <si>
    <t xml:space="preserve">World</t>
  </si>
  <si>
    <t xml:space="preserve">WLD</t>
  </si>
  <si>
    <t xml:space="preserve">Data from database: World Development Indicators</t>
  </si>
  <si>
    <t xml:space="preserve">Last Updated: 09/15/2021</t>
  </si>
  <si>
    <t xml:space="preserve">Extreme Inequality Analysis Top and Bottom 10%)</t>
  </si>
  <si>
    <t xml:space="preserve">Bottom 10%</t>
  </si>
  <si>
    <t xml:space="preserve">Average</t>
  </si>
  <si>
    <t xml:space="preserve">Top 10%</t>
  </si>
  <si>
    <t xml:space="preserve">World Average</t>
  </si>
  <si>
    <t xml:space="preserve">2000(year)</t>
  </si>
  <si>
    <t xml:space="preserve">2011(year)</t>
  </si>
  <si>
    <t xml:space="preserve">2019(year)</t>
  </si>
  <si>
    <t xml:space="preserve">Income Growth Rate (bottom 10%)</t>
  </si>
  <si>
    <t xml:space="preserve">Income Growth Rate (top 10%)</t>
  </si>
  <si>
    <t xml:space="preserve">Source: https://databank.worldbank.org/reports.aspx?source=2&amp;series=NY.GNP.PCAP.PP.CD&amp;country=#</t>
  </si>
  <si>
    <t xml:space="preserve">Sorting and categorizing</t>
  </si>
  <si>
    <t xml:space="preserve">Source:https://databank.worldbank.org/reports.aspx?source=2&amp;series=NY.GNP.PCAP.PP.CD&amp;country=</t>
  </si>
  <si>
    <t xml:space="preserve">Yr2000</t>
  </si>
  <si>
    <t xml:space="preserve">Yr2019</t>
  </si>
  <si>
    <t xml:space="preserve">Category 1</t>
  </si>
  <si>
    <t xml:space="preserve">Category  2</t>
  </si>
  <si>
    <t xml:space="preserve">Category  3</t>
  </si>
  <si>
    <t xml:space="preserve">Category 4</t>
  </si>
  <si>
    <t xml:space="preserve">Category  5</t>
  </si>
  <si>
    <t xml:space="preserve">Final Matrix</t>
  </si>
  <si>
    <t xml:space="preserve">Category</t>
  </si>
  <si>
    <t xml:space="preserve">Data Source</t>
  </si>
  <si>
    <t xml:space="preserve">Last Updated Date</t>
  </si>
  <si>
    <t xml:space="preserve">2007</t>
  </si>
  <si>
    <t xml:space="preserve">2014</t>
  </si>
  <si>
    <t xml:space="preserve">Income Share</t>
  </si>
  <si>
    <t xml:space="preserve">highest 20% </t>
  </si>
  <si>
    <t xml:space="preserve">fourth 20%</t>
  </si>
  <si>
    <t xml:space="preserve">lowest 20%</t>
  </si>
  <si>
    <t xml:space="preserve">Lowest 40%</t>
  </si>
  <si>
    <t xml:space="preserve">Ratio</t>
  </si>
  <si>
    <t xml:space="preserve">Source: https://data.worldbank.org/indicator/SI.DST.05TH.20?end=2019&amp;name_desc=false&amp;start=2000&amp;view=chart</t>
  </si>
  <si>
    <t xml:space="preserve">Country</t>
  </si>
  <si>
    <t xml:space="preserve">GDP PC</t>
  </si>
  <si>
    <t xml:space="preserve">Palma</t>
  </si>
  <si>
    <t xml:space="preserve">Source: Source: https://data.oecd.org/inequality/income-inequality.htm</t>
  </si>
  <si>
    <t xml:space="preserve">Congo (Democratic Republic of the)</t>
  </si>
  <si>
    <t xml:space="preserve">Bahamas</t>
  </si>
  <si>
    <t xml:space="preserve">Yemen</t>
  </si>
  <si>
    <t xml:space="preserve">Gambia</t>
  </si>
  <si>
    <t xml:space="preserve">Tanzania (United Republic of)</t>
  </si>
  <si>
    <t xml:space="preserve">Congo</t>
  </si>
  <si>
    <t xml:space="preserve">Micronesia (Federated States of)</t>
  </si>
  <si>
    <t xml:space="preserve">Kyrgyzstan</t>
  </si>
  <si>
    <t xml:space="preserve">Côte d'Ivoire</t>
  </si>
  <si>
    <t xml:space="preserve">Palestine, State of</t>
  </si>
  <si>
    <t xml:space="preserve">Hong Kong, China (SAR)</t>
  </si>
  <si>
    <t xml:space="preserve">Lao People's Democratic Republic</t>
  </si>
  <si>
    <t xml:space="preserve">Viet Nam</t>
  </si>
  <si>
    <t xml:space="preserve">Eswatini (Kingdom of)</t>
  </si>
  <si>
    <t xml:space="preserve">Bolivia (Plurinational State of)</t>
  </si>
  <si>
    <t xml:space="preserve">Egypt</t>
  </si>
  <si>
    <t xml:space="preserve">Iran (Islamic Republic of)</t>
  </si>
  <si>
    <t xml:space="preserve">Moldova (Republic of)</t>
  </si>
  <si>
    <t xml:space="preserve">Saint Lucia</t>
  </si>
  <si>
    <t xml:space="preserve">Saint Kitts and Nevis</t>
  </si>
  <si>
    <t xml:space="preserve">Saint Vincent and the Grenadines</t>
  </si>
  <si>
    <t xml:space="preserve">Slovakia</t>
  </si>
  <si>
    <t xml:space="preserve">Czechia</t>
  </si>
  <si>
    <t xml:space="preserve">Korea (Republic of)</t>
  </si>
  <si>
    <t xml:space="preserve">Venezuela (Bolivarian Republic of)</t>
  </si>
  <si>
    <t xml:space="preserve">Sources of Data</t>
  </si>
  <si>
    <t xml:space="preserve">https://data.oecd.org/inequality/income-inequality.htm</t>
  </si>
  <si>
    <t xml:space="preserve">https://databank.worldbank.org/reports.aspx?source=2&amp;series=NY.GNP.PCAP.PP.CD&amp;country=</t>
  </si>
  <si>
    <t xml:space="preserve">https://databank.worldbank.org/reports.aspx?source=2&amp;series=NY.GNP.PCAP.PP.CD&amp;country=#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</si>
</sst>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General"/>
    <numFmt numFmtId="167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b val="true"/>
      <sz val="24"/>
      <color theme="1"/>
      <name val="Cambria"/>
      <family val="1"/>
      <charset val="1"/>
    </font>
    <font>
      <sz val="12"/>
      <color theme="1"/>
      <name val="Aharoni"/>
      <family val="0"/>
      <charset val="177"/>
    </font>
    <font>
      <b val="true"/>
      <sz val="11"/>
      <color theme="1"/>
      <name val="Cambria"/>
      <family val="1"/>
      <charset val="1"/>
    </font>
    <font>
      <sz val="24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theme="4"/>
        <bgColor rgb="FF3366FF"/>
      </patternFill>
    </fill>
    <fill>
      <patternFill patternType="solid">
        <fgColor theme="4" tint="0.5999"/>
        <bgColor rgb="FFBFBFBF"/>
      </patternFill>
    </fill>
    <fill>
      <patternFill patternType="solid">
        <fgColor theme="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BBB59"/>
      </patternFill>
    </fill>
    <fill>
      <patternFill patternType="solid">
        <fgColor rgb="FF00B05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theme="0"/>
        <bgColor rgb="FFF2F2F2"/>
      </patternFill>
    </fill>
    <fill>
      <patternFill patternType="solid">
        <fgColor theme="0" tint="-0.05"/>
        <bgColor rgb="FFEEECE1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medium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1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2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2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1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*unknown*" xfId="20" builtinId="8"/>
  </cellStyles>
  <dxfs count="11"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4F81BD"/>
      <rgbColor rgb="FF9999FF"/>
      <rgbColor rgb="FFC0504D"/>
      <rgbColor rgb="FFF2F2F2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EECE1"/>
      <rgbColor rgb="FFFFFF99"/>
      <rgbColor rgb="FF99CCFF"/>
      <rgbColor rgb="FFFF99CC"/>
      <rgbColor rgb="FFCC99FF"/>
      <rgbColor rgb="FFD9D9D9"/>
      <rgbColor rgb="FF3366FF"/>
      <rgbColor rgb="FF33CCCC"/>
      <rgbColor rgb="FF92D050"/>
      <rgbColor rgb="FFFFC000"/>
      <rgbColor rgb="FFFF9900"/>
      <rgbColor rgb="FFFF6600"/>
      <rgbColor rgb="FF595959"/>
      <rgbColor rgb="FF9BBB59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IN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IN" sz="1400" spc="-1" strike="noStrike">
                <a:solidFill>
                  <a:srgbClr val="595959"/>
                </a:solidFill>
                <a:latin typeface="Calibri"/>
              </a:rPr>
              <a:t>Growth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'4. Growth Rate'!$B$1:$B$1</c:f>
              <c:strCache>
                <c:ptCount val="1"/>
                <c:pt idx="0">
                  <c:v>2000 [YR2000]</c:v>
                </c:pt>
              </c:strCache>
            </c:strRef>
          </c:tx>
          <c:spPr>
            <a:solidFill>
              <a:srgbClr val="4f81bd"/>
            </a:solidFill>
            <a:ln cap="rnd" w="2844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Growth Rate'!$A$2:$A$138</c:f>
              <c:strCache>
                <c:ptCount val="137"/>
                <c:pt idx="0">
                  <c:v>Algeria</c:v>
                </c:pt>
                <c:pt idx="1">
                  <c:v>Argentina</c:v>
                </c:pt>
                <c:pt idx="2">
                  <c:v>Armenia</c:v>
                </c:pt>
                <c:pt idx="3">
                  <c:v>Bahamas, The</c:v>
                </c:pt>
                <c:pt idx="4">
                  <c:v>Bangladesh</c:v>
                </c:pt>
                <c:pt idx="5">
                  <c:v>Belarus</c:v>
                </c:pt>
                <c:pt idx="6">
                  <c:v>Belgium</c:v>
                </c:pt>
                <c:pt idx="7">
                  <c:v>Belize</c:v>
                </c:pt>
                <c:pt idx="8">
                  <c:v>Benin</c:v>
                </c:pt>
                <c:pt idx="9">
                  <c:v>Bhutan</c:v>
                </c:pt>
                <c:pt idx="10">
                  <c:v>Bolivia</c:v>
                </c:pt>
                <c:pt idx="11">
                  <c:v>Botswana</c:v>
                </c:pt>
                <c:pt idx="12">
                  <c:v>Brazil</c:v>
                </c:pt>
                <c:pt idx="13">
                  <c:v>Brunei Darussalam</c:v>
                </c:pt>
                <c:pt idx="14">
                  <c:v>Bulgaria</c:v>
                </c:pt>
                <c:pt idx="15">
                  <c:v>Burkina Faso</c:v>
                </c:pt>
                <c:pt idx="16">
                  <c:v>Burundi</c:v>
                </c:pt>
                <c:pt idx="17">
                  <c:v>Cambodia</c:v>
                </c:pt>
                <c:pt idx="18">
                  <c:v>Cameroon</c:v>
                </c:pt>
                <c:pt idx="19">
                  <c:v>Canada</c:v>
                </c:pt>
                <c:pt idx="20">
                  <c:v>Chad</c:v>
                </c:pt>
                <c:pt idx="21">
                  <c:v>Chile</c:v>
                </c:pt>
                <c:pt idx="22">
                  <c:v>China</c:v>
                </c:pt>
                <c:pt idx="23">
                  <c:v>Colombia</c:v>
                </c:pt>
                <c:pt idx="24">
                  <c:v>Congo, Dem. Rep.</c:v>
                </c:pt>
                <c:pt idx="25">
                  <c:v>Congo, Rep.</c:v>
                </c:pt>
                <c:pt idx="26">
                  <c:v>Costa Rica</c:v>
                </c:pt>
                <c:pt idx="27">
                  <c:v>Croatia</c:v>
                </c:pt>
                <c:pt idx="28">
                  <c:v>Cyprus</c:v>
                </c:pt>
                <c:pt idx="29">
                  <c:v>Denmark</c:v>
                </c:pt>
                <c:pt idx="30">
                  <c:v>Dominican Republic</c:v>
                </c:pt>
                <c:pt idx="31">
                  <c:v>Ecuador</c:v>
                </c:pt>
                <c:pt idx="32">
                  <c:v>Egypt, Arab Rep.</c:v>
                </c:pt>
                <c:pt idx="33">
                  <c:v>El Salvador</c:v>
                </c:pt>
                <c:pt idx="34">
                  <c:v>Eswatini</c:v>
                </c:pt>
                <c:pt idx="35">
                  <c:v>Finland</c:v>
                </c:pt>
                <c:pt idx="36">
                  <c:v>France</c:v>
                </c:pt>
                <c:pt idx="37">
                  <c:v>Gabon</c:v>
                </c:pt>
                <c:pt idx="38">
                  <c:v>Germany</c:v>
                </c:pt>
                <c:pt idx="39">
                  <c:v>Guatemala</c:v>
                </c:pt>
                <c:pt idx="40">
                  <c:v>Haiti</c:v>
                </c:pt>
                <c:pt idx="41">
                  <c:v>Honduras</c:v>
                </c:pt>
                <c:pt idx="42">
                  <c:v>India</c:v>
                </c:pt>
                <c:pt idx="43">
                  <c:v>Iran, Islamic Rep.</c:v>
                </c:pt>
                <c:pt idx="44">
                  <c:v>Ireland</c:v>
                </c:pt>
                <c:pt idx="45">
                  <c:v>Israel</c:v>
                </c:pt>
                <c:pt idx="46">
                  <c:v>Italy</c:v>
                </c:pt>
                <c:pt idx="47">
                  <c:v>Jordan</c:v>
                </c:pt>
                <c:pt idx="48">
                  <c:v>Kazakhstan</c:v>
                </c:pt>
                <c:pt idx="49">
                  <c:v>Kenya</c:v>
                </c:pt>
                <c:pt idx="50">
                  <c:v>Korea, Rep.</c:v>
                </c:pt>
                <c:pt idx="51">
                  <c:v>Kyrgyz Republic</c:v>
                </c:pt>
                <c:pt idx="52">
                  <c:v>Latvia</c:v>
                </c:pt>
                <c:pt idx="53">
                  <c:v>Lebanon</c:v>
                </c:pt>
                <c:pt idx="54">
                  <c:v>Madagascar</c:v>
                </c:pt>
                <c:pt idx="55">
                  <c:v>Malaysia</c:v>
                </c:pt>
                <c:pt idx="56">
                  <c:v>Mali</c:v>
                </c:pt>
                <c:pt idx="57">
                  <c:v>Mauritania</c:v>
                </c:pt>
                <c:pt idx="58">
                  <c:v>Mexico</c:v>
                </c:pt>
                <c:pt idx="59">
                  <c:v>Moldova</c:v>
                </c:pt>
                <c:pt idx="60">
                  <c:v>Morocco</c:v>
                </c:pt>
                <c:pt idx="61">
                  <c:v>Mozambique</c:v>
                </c:pt>
                <c:pt idx="62">
                  <c:v>Namibia</c:v>
                </c:pt>
                <c:pt idx="63">
                  <c:v>Netherlands</c:v>
                </c:pt>
                <c:pt idx="64">
                  <c:v>New Zealand</c:v>
                </c:pt>
                <c:pt idx="65">
                  <c:v>Nicaragua</c:v>
                </c:pt>
                <c:pt idx="66">
                  <c:v>Niger</c:v>
                </c:pt>
                <c:pt idx="67">
                  <c:v>Nigeria</c:v>
                </c:pt>
                <c:pt idx="68">
                  <c:v>North Macedonia</c:v>
                </c:pt>
                <c:pt idx="69">
                  <c:v>Norway</c:v>
                </c:pt>
                <c:pt idx="70">
                  <c:v>Oman</c:v>
                </c:pt>
                <c:pt idx="71">
                  <c:v>Pakistan</c:v>
                </c:pt>
                <c:pt idx="72">
                  <c:v>Panama</c:v>
                </c:pt>
                <c:pt idx="73">
                  <c:v>Peru</c:v>
                </c:pt>
                <c:pt idx="74">
                  <c:v>Philippines</c:v>
                </c:pt>
                <c:pt idx="75">
                  <c:v>Poland</c:v>
                </c:pt>
                <c:pt idx="76">
                  <c:v>Portugal</c:v>
                </c:pt>
                <c:pt idx="77">
                  <c:v>Puerto Rico</c:v>
                </c:pt>
                <c:pt idx="78">
                  <c:v>Romania</c:v>
                </c:pt>
                <c:pt idx="79">
                  <c:v>Russian Federation</c:v>
                </c:pt>
                <c:pt idx="80">
                  <c:v>Rwanda</c:v>
                </c:pt>
                <c:pt idx="81">
                  <c:v>Senegal</c:v>
                </c:pt>
                <c:pt idx="82">
                  <c:v>Serbia</c:v>
                </c:pt>
                <c:pt idx="83">
                  <c:v>Solomon Islands</c:v>
                </c:pt>
                <c:pt idx="84">
                  <c:v>South Africa</c:v>
                </c:pt>
                <c:pt idx="85">
                  <c:v>Spain</c:v>
                </c:pt>
                <c:pt idx="86">
                  <c:v>Sri Lanka</c:v>
                </c:pt>
                <c:pt idx="87">
                  <c:v>Sudan</c:v>
                </c:pt>
                <c:pt idx="88">
                  <c:v>Sweden</c:v>
                </c:pt>
                <c:pt idx="89">
                  <c:v>Switzerland</c:v>
                </c:pt>
                <c:pt idx="90">
                  <c:v>Tanzania</c:v>
                </c:pt>
                <c:pt idx="91">
                  <c:v>Togo</c:v>
                </c:pt>
                <c:pt idx="92">
                  <c:v>Tunisia</c:v>
                </c:pt>
                <c:pt idx="93">
                  <c:v>Turkey</c:v>
                </c:pt>
                <c:pt idx="94">
                  <c:v>Uganda</c:v>
                </c:pt>
                <c:pt idx="95">
                  <c:v>Ukraine</c:v>
                </c:pt>
                <c:pt idx="96">
                  <c:v>United Kingdom</c:v>
                </c:pt>
                <c:pt idx="97">
                  <c:v>United States</c:v>
                </c:pt>
                <c:pt idx="98">
                  <c:v>Uruguay</c:v>
                </c:pt>
                <c:pt idx="99">
                  <c:v>Vietnam</c:v>
                </c:pt>
                <c:pt idx="100">
                  <c:v>West Bank and Gaza</c:v>
                </c:pt>
                <c:pt idx="101">
                  <c:v>Africa Eastern and Southern</c:v>
                </c:pt>
                <c:pt idx="102">
                  <c:v>Africa Western and Central</c:v>
                </c:pt>
                <c:pt idx="103">
                  <c:v>Central Europe and the Baltics</c:v>
                </c:pt>
                <c:pt idx="104">
                  <c:v>Early-demographic dividend</c:v>
                </c:pt>
                <c:pt idx="105">
                  <c:v>East Asia &amp; Pacific (excluding high income)</c:v>
                </c:pt>
                <c:pt idx="106">
                  <c:v>East Asia &amp; Pacific (IDA &amp; IBRD countries)</c:v>
                </c:pt>
                <c:pt idx="107">
                  <c:v>Euro area</c:v>
                </c:pt>
                <c:pt idx="108">
                  <c:v>Europe &amp; Central Asia</c:v>
                </c:pt>
                <c:pt idx="109">
                  <c:v>Europe &amp; Central Asia (excluding high income)</c:v>
                </c:pt>
                <c:pt idx="110">
                  <c:v>Europe &amp; Central Asia (IDA &amp; IBRD countries)</c:v>
                </c:pt>
                <c:pt idx="111">
                  <c:v>European Union</c:v>
                </c:pt>
                <c:pt idx="112">
                  <c:v>Heavily indebted poor countries (HIPC)</c:v>
                </c:pt>
                <c:pt idx="113">
                  <c:v>High income</c:v>
                </c:pt>
                <c:pt idx="114">
                  <c:v>IBRD only</c:v>
                </c:pt>
                <c:pt idx="115">
                  <c:v>IDA &amp; IBRD total</c:v>
                </c:pt>
                <c:pt idx="116">
                  <c:v>IDA blend</c:v>
                </c:pt>
                <c:pt idx="117">
                  <c:v>IDA total</c:v>
                </c:pt>
                <c:pt idx="118">
                  <c:v>Late-demographic dividend</c:v>
                </c:pt>
                <c:pt idx="119">
                  <c:v>Latin America &amp; Caribbean</c:v>
                </c:pt>
                <c:pt idx="120">
                  <c:v>Latin America &amp; Caribbean (excluding high income)</c:v>
                </c:pt>
                <c:pt idx="121">
                  <c:v>Latin America &amp; the Caribbean (IDA &amp; IBRD countries)</c:v>
                </c:pt>
                <c:pt idx="122">
                  <c:v>Low &amp; middle income</c:v>
                </c:pt>
                <c:pt idx="123">
                  <c:v>Lower middle income</c:v>
                </c:pt>
                <c:pt idx="124">
                  <c:v>Middle East &amp; North Africa (excluding high income)</c:v>
                </c:pt>
                <c:pt idx="125">
                  <c:v>Middle East &amp; North Africa (IDA &amp; IBRD countries)</c:v>
                </c:pt>
                <c:pt idx="126">
                  <c:v>Middle income</c:v>
                </c:pt>
                <c:pt idx="127">
                  <c:v>North America</c:v>
                </c:pt>
                <c:pt idx="128">
                  <c:v>OECD members</c:v>
                </c:pt>
                <c:pt idx="129">
                  <c:v>Post-demographic dividend</c:v>
                </c:pt>
                <c:pt idx="130">
                  <c:v>Pre-demographic dividend</c:v>
                </c:pt>
                <c:pt idx="131">
                  <c:v>South Asia</c:v>
                </c:pt>
                <c:pt idx="132">
                  <c:v>South Asia (IDA &amp; IBRD)</c:v>
                </c:pt>
                <c:pt idx="133">
                  <c:v>Sub-Saharan Africa</c:v>
                </c:pt>
                <c:pt idx="134">
                  <c:v>Sub-Saharan Africa (excluding high income)</c:v>
                </c:pt>
                <c:pt idx="135">
                  <c:v>Sub-Saharan Africa (IDA &amp; IBRD countries)</c:v>
                </c:pt>
                <c:pt idx="136">
                  <c:v>Upper middle income</c:v>
                </c:pt>
              </c:strCache>
            </c:strRef>
          </c:cat>
          <c:val>
            <c:numRef>
              <c:f>'4. Growth Rate'!$B$2:$B$138</c:f>
              <c:numCache>
                <c:formatCode>General</c:formatCode>
                <c:ptCount val="137"/>
                <c:pt idx="0">
                  <c:v>1.69141121457778</c:v>
                </c:pt>
                <c:pt idx="1">
                  <c:v>-1.91700116096739</c:v>
                </c:pt>
                <c:pt idx="2">
                  <c:v>6.48950746334258</c:v>
                </c:pt>
                <c:pt idx="3">
                  <c:v>2.66455077018497</c:v>
                </c:pt>
                <c:pt idx="4">
                  <c:v>3.44408145208746</c:v>
                </c:pt>
                <c:pt idx="5">
                  <c:v>6.21840789162116</c:v>
                </c:pt>
                <c:pt idx="6">
                  <c:v>3.69349719981007</c:v>
                </c:pt>
                <c:pt idx="7">
                  <c:v>8.09777521025382</c:v>
                </c:pt>
                <c:pt idx="8">
                  <c:v>2.72648812875136</c:v>
                </c:pt>
                <c:pt idx="9">
                  <c:v>21.943977764841</c:v>
                </c:pt>
                <c:pt idx="10">
                  <c:v>0.250798246636478</c:v>
                </c:pt>
                <c:pt idx="11">
                  <c:v>-1.6526555697274</c:v>
                </c:pt>
                <c:pt idx="12">
                  <c:v>5.43704426383019</c:v>
                </c:pt>
                <c:pt idx="13">
                  <c:v>0.703316970907181</c:v>
                </c:pt>
                <c:pt idx="14">
                  <c:v>4.24711851074824</c:v>
                </c:pt>
                <c:pt idx="15">
                  <c:v>-1.18960200323009</c:v>
                </c:pt>
                <c:pt idx="16">
                  <c:v>0.237354678483086</c:v>
                </c:pt>
                <c:pt idx="17">
                  <c:v>7.04172088950728</c:v>
                </c:pt>
                <c:pt idx="18">
                  <c:v>-1.12544734316738</c:v>
                </c:pt>
                <c:pt idx="19">
                  <c:v>4.73640996819675</c:v>
                </c:pt>
                <c:pt idx="20">
                  <c:v>-5.76487966375247</c:v>
                </c:pt>
                <c:pt idx="21">
                  <c:v>3.48136978989653</c:v>
                </c:pt>
                <c:pt idx="22">
                  <c:v>7.72349749428456</c:v>
                </c:pt>
                <c:pt idx="23">
                  <c:v>0.733921136310073</c:v>
                </c:pt>
                <c:pt idx="24">
                  <c:v>-2.43281463702765</c:v>
                </c:pt>
                <c:pt idx="25">
                  <c:v>-6.33421989085376</c:v>
                </c:pt>
                <c:pt idx="26">
                  <c:v>0.9612331804165</c:v>
                </c:pt>
                <c:pt idx="27">
                  <c:v>4.15210232860557</c:v>
                </c:pt>
                <c:pt idx="28">
                  <c:v>1.69111482693604</c:v>
                </c:pt>
                <c:pt idx="29">
                  <c:v>2.16994201929796</c:v>
                </c:pt>
                <c:pt idx="30">
                  <c:v>3.29502459504593</c:v>
                </c:pt>
                <c:pt idx="31">
                  <c:v>-1.03903411656674</c:v>
                </c:pt>
                <c:pt idx="32">
                  <c:v>4.2390401092604</c:v>
                </c:pt>
                <c:pt idx="33">
                  <c:v>0.833609381823948</c:v>
                </c:pt>
                <c:pt idx="34">
                  <c:v>-2.59145948840811</c:v>
                </c:pt>
                <c:pt idx="35">
                  <c:v>5.997282999185</c:v>
                </c:pt>
                <c:pt idx="36">
                  <c:v>2.78388264069925</c:v>
                </c:pt>
                <c:pt idx="37">
                  <c:v>-11.2326553629134</c:v>
                </c:pt>
                <c:pt idx="38">
                  <c:v>2.91512893832564</c:v>
                </c:pt>
                <c:pt idx="39">
                  <c:v>1.16541103687294</c:v>
                </c:pt>
                <c:pt idx="40">
                  <c:v>-0.723243056282357</c:v>
                </c:pt>
                <c:pt idx="41">
                  <c:v>3.80573456787533</c:v>
                </c:pt>
                <c:pt idx="42">
                  <c:v>1.74403014308389</c:v>
                </c:pt>
                <c:pt idx="43">
                  <c:v>4.43638103883697</c:v>
                </c:pt>
                <c:pt idx="44">
                  <c:v>7.80653102976542</c:v>
                </c:pt>
                <c:pt idx="45">
                  <c:v>2.65155150845263</c:v>
                </c:pt>
                <c:pt idx="46">
                  <c:v>3.54790529904653</c:v>
                </c:pt>
                <c:pt idx="47">
                  <c:v>5.15386827445315</c:v>
                </c:pt>
                <c:pt idx="48">
                  <c:v>6.88570594663254</c:v>
                </c:pt>
                <c:pt idx="49">
                  <c:v>-1.81443740878302</c:v>
                </c:pt>
                <c:pt idx="50">
                  <c:v>8.69012561301503</c:v>
                </c:pt>
                <c:pt idx="51">
                  <c:v>3.80879780000005</c:v>
                </c:pt>
                <c:pt idx="52">
                  <c:v>7.5796598210555</c:v>
                </c:pt>
                <c:pt idx="53">
                  <c:v>-0.503789531741887</c:v>
                </c:pt>
                <c:pt idx="54">
                  <c:v>1.58891850433443</c:v>
                </c:pt>
                <c:pt idx="55">
                  <c:v>5.1663377997629</c:v>
                </c:pt>
                <c:pt idx="56">
                  <c:v>-2.5414277029128</c:v>
                </c:pt>
                <c:pt idx="57">
                  <c:v>-7.00894486291318</c:v>
                </c:pt>
                <c:pt idx="58">
                  <c:v>3.46680753030472</c:v>
                </c:pt>
                <c:pt idx="59">
                  <c:v>4.32515382596715</c:v>
                </c:pt>
                <c:pt idx="60">
                  <c:v>0.55429789940132</c:v>
                </c:pt>
                <c:pt idx="61">
                  <c:v>-2.78832039963466</c:v>
                </c:pt>
                <c:pt idx="62">
                  <c:v>4.7587112604464</c:v>
                </c:pt>
                <c:pt idx="63">
                  <c:v>3.89125523127724</c:v>
                </c:pt>
                <c:pt idx="64">
                  <c:v>2.57830683449905</c:v>
                </c:pt>
                <c:pt idx="65">
                  <c:v>2.70164438670994</c:v>
                </c:pt>
                <c:pt idx="66">
                  <c:v>-4.50293179970952</c:v>
                </c:pt>
                <c:pt idx="67">
                  <c:v>-5.7166825585816</c:v>
                </c:pt>
                <c:pt idx="68">
                  <c:v>3.83779215943099</c:v>
                </c:pt>
                <c:pt idx="69">
                  <c:v>1.95322064895717</c:v>
                </c:pt>
                <c:pt idx="70">
                  <c:v>5.66424306878449</c:v>
                </c:pt>
                <c:pt idx="71">
                  <c:v>2.04567090045857</c:v>
                </c:pt>
                <c:pt idx="72">
                  <c:v>2.36038646167873</c:v>
                </c:pt>
                <c:pt idx="73">
                  <c:v>0.746683968245023</c:v>
                </c:pt>
                <c:pt idx="74">
                  <c:v>-1.37282387911776</c:v>
                </c:pt>
                <c:pt idx="75">
                  <c:v>5.84674632424193</c:v>
                </c:pt>
                <c:pt idx="76">
                  <c:v>1.80367753738821</c:v>
                </c:pt>
                <c:pt idx="77">
                  <c:v>4.59657866194098</c:v>
                </c:pt>
                <c:pt idx="78">
                  <c:v>3.15125793640169</c:v>
                </c:pt>
                <c:pt idx="79">
                  <c:v>11.6142152557545</c:v>
                </c:pt>
                <c:pt idx="80">
                  <c:v>2.22991424320433</c:v>
                </c:pt>
                <c:pt idx="81">
                  <c:v>1.40837885462348</c:v>
                </c:pt>
                <c:pt idx="82">
                  <c:v>6.38627271054422</c:v>
                </c:pt>
                <c:pt idx="83">
                  <c:v>-14.2023914309596</c:v>
                </c:pt>
                <c:pt idx="84">
                  <c:v>2.74462583908645</c:v>
                </c:pt>
                <c:pt idx="85">
                  <c:v>4.98722125098654</c:v>
                </c:pt>
                <c:pt idx="86">
                  <c:v>5.27173560002048</c:v>
                </c:pt>
                <c:pt idx="87">
                  <c:v>2.6794197860681</c:v>
                </c:pt>
                <c:pt idx="88">
                  <c:v>4.83586479484617</c:v>
                </c:pt>
                <c:pt idx="89">
                  <c:v>4.34373599496834</c:v>
                </c:pt>
                <c:pt idx="90">
                  <c:v>1.83336830501636</c:v>
                </c:pt>
                <c:pt idx="91">
                  <c:v>-3.29231045560459</c:v>
                </c:pt>
                <c:pt idx="92">
                  <c:v>3.17564731763338</c:v>
                </c:pt>
                <c:pt idx="93">
                  <c:v>5.26485344289247</c:v>
                </c:pt>
                <c:pt idx="94">
                  <c:v>-1.38906889803519</c:v>
                </c:pt>
                <c:pt idx="95">
                  <c:v>6.7452610312029</c:v>
                </c:pt>
                <c:pt idx="96">
                  <c:v>3.84555953044949</c:v>
                </c:pt>
                <c:pt idx="97">
                  <c:v>3.05224733650323</c:v>
                </c:pt>
                <c:pt idx="98">
                  <c:v>-2.36737828796296</c:v>
                </c:pt>
                <c:pt idx="99">
                  <c:v>13.1667218067636</c:v>
                </c:pt>
                <c:pt idx="100">
                  <c:v>-14.6560895181381</c:v>
                </c:pt>
                <c:pt idx="101">
                  <c:v>1.11075786638</c:v>
                </c:pt>
                <c:pt idx="102">
                  <c:v>-4.99808836136205</c:v>
                </c:pt>
                <c:pt idx="103">
                  <c:v>4.52920436939212</c:v>
                </c:pt>
                <c:pt idx="104">
                  <c:v>2.21480056439837</c:v>
                </c:pt>
                <c:pt idx="105">
                  <c:v>7.13032991278833</c:v>
                </c:pt>
                <c:pt idx="106">
                  <c:v>7.12870024425581</c:v>
                </c:pt>
                <c:pt idx="107">
                  <c:v>3.47153040748628</c:v>
                </c:pt>
                <c:pt idx="108">
                  <c:v>4.2725797008347</c:v>
                </c:pt>
                <c:pt idx="109">
                  <c:v>8.46820569783873</c:v>
                </c:pt>
                <c:pt idx="110">
                  <c:v>7.90043534407549</c:v>
                </c:pt>
                <c:pt idx="111">
                  <c:v>3.70939329291711</c:v>
                </c:pt>
                <c:pt idx="112">
                  <c:v>-0.0656212623978547</c:v>
                </c:pt>
                <c:pt idx="113">
                  <c:v>3.40729992682505</c:v>
                </c:pt>
                <c:pt idx="114">
                  <c:v>4.8858536773128</c:v>
                </c:pt>
                <c:pt idx="115">
                  <c:v>4.36900424168793</c:v>
                </c:pt>
                <c:pt idx="116">
                  <c:v>-2.12106873762205</c:v>
                </c:pt>
                <c:pt idx="117">
                  <c:v>-0.638958595795643</c:v>
                </c:pt>
                <c:pt idx="118">
                  <c:v>6.78238911638086</c:v>
                </c:pt>
                <c:pt idx="119">
                  <c:v>3.23371396911982</c:v>
                </c:pt>
                <c:pt idx="120">
                  <c:v>3.36787308889994</c:v>
                </c:pt>
                <c:pt idx="121">
                  <c:v>3.18661012098573</c:v>
                </c:pt>
                <c:pt idx="122">
                  <c:v>4.48477575222897</c:v>
                </c:pt>
                <c:pt idx="123">
                  <c:v>1.84384685275421</c:v>
                </c:pt>
                <c:pt idx="124">
                  <c:v>2.87591661343005</c:v>
                </c:pt>
                <c:pt idx="125">
                  <c:v>3.09090083003967</c:v>
                </c:pt>
                <c:pt idx="126">
                  <c:v>4.63267222938859</c:v>
                </c:pt>
                <c:pt idx="127">
                  <c:v>3.19642377240712</c:v>
                </c:pt>
                <c:pt idx="128">
                  <c:v>3.35995051569549</c:v>
                </c:pt>
                <c:pt idx="129">
                  <c:v>3.50654486400161</c:v>
                </c:pt>
                <c:pt idx="130">
                  <c:v>-3.03609698902932</c:v>
                </c:pt>
                <c:pt idx="131">
                  <c:v>1.95771111961729</c:v>
                </c:pt>
                <c:pt idx="132">
                  <c:v>1.95771111961729</c:v>
                </c:pt>
                <c:pt idx="133">
                  <c:v>-1.17532907219976</c:v>
                </c:pt>
                <c:pt idx="134">
                  <c:v>-1.17553857370952</c:v>
                </c:pt>
                <c:pt idx="135">
                  <c:v>-1.17532907219976</c:v>
                </c:pt>
                <c:pt idx="136">
                  <c:v>5.88566091603229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'4. Growth Rate'!$C$1:$C$1</c:f>
              <c:strCache>
                <c:ptCount val="1"/>
                <c:pt idx="0">
                  <c:v>2011 [YR2011]</c:v>
                </c:pt>
              </c:strCache>
            </c:strRef>
          </c:tx>
          <c:spPr>
            <a:solidFill>
              <a:srgbClr val="c0504d"/>
            </a:solidFill>
            <a:ln cap="rnd" w="2844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Growth Rate'!$A$2:$A$138</c:f>
              <c:strCache>
                <c:ptCount val="137"/>
                <c:pt idx="0">
                  <c:v>Algeria</c:v>
                </c:pt>
                <c:pt idx="1">
                  <c:v>Argentina</c:v>
                </c:pt>
                <c:pt idx="2">
                  <c:v>Armenia</c:v>
                </c:pt>
                <c:pt idx="3">
                  <c:v>Bahamas, The</c:v>
                </c:pt>
                <c:pt idx="4">
                  <c:v>Bangladesh</c:v>
                </c:pt>
                <c:pt idx="5">
                  <c:v>Belarus</c:v>
                </c:pt>
                <c:pt idx="6">
                  <c:v>Belgium</c:v>
                </c:pt>
                <c:pt idx="7">
                  <c:v>Belize</c:v>
                </c:pt>
                <c:pt idx="8">
                  <c:v>Benin</c:v>
                </c:pt>
                <c:pt idx="9">
                  <c:v>Bhutan</c:v>
                </c:pt>
                <c:pt idx="10">
                  <c:v>Bolivia</c:v>
                </c:pt>
                <c:pt idx="11">
                  <c:v>Botswana</c:v>
                </c:pt>
                <c:pt idx="12">
                  <c:v>Brazil</c:v>
                </c:pt>
                <c:pt idx="13">
                  <c:v>Brunei Darussalam</c:v>
                </c:pt>
                <c:pt idx="14">
                  <c:v>Bulgaria</c:v>
                </c:pt>
                <c:pt idx="15">
                  <c:v>Burkina Faso</c:v>
                </c:pt>
                <c:pt idx="16">
                  <c:v>Burundi</c:v>
                </c:pt>
                <c:pt idx="17">
                  <c:v>Cambodia</c:v>
                </c:pt>
                <c:pt idx="18">
                  <c:v>Cameroon</c:v>
                </c:pt>
                <c:pt idx="19">
                  <c:v>Canada</c:v>
                </c:pt>
                <c:pt idx="20">
                  <c:v>Chad</c:v>
                </c:pt>
                <c:pt idx="21">
                  <c:v>Chile</c:v>
                </c:pt>
                <c:pt idx="22">
                  <c:v>China</c:v>
                </c:pt>
                <c:pt idx="23">
                  <c:v>Colombia</c:v>
                </c:pt>
                <c:pt idx="24">
                  <c:v>Congo, Dem. Rep.</c:v>
                </c:pt>
                <c:pt idx="25">
                  <c:v>Congo, Rep.</c:v>
                </c:pt>
                <c:pt idx="26">
                  <c:v>Costa Rica</c:v>
                </c:pt>
                <c:pt idx="27">
                  <c:v>Croatia</c:v>
                </c:pt>
                <c:pt idx="28">
                  <c:v>Cyprus</c:v>
                </c:pt>
                <c:pt idx="29">
                  <c:v>Denmark</c:v>
                </c:pt>
                <c:pt idx="30">
                  <c:v>Dominican Republic</c:v>
                </c:pt>
                <c:pt idx="31">
                  <c:v>Ecuador</c:v>
                </c:pt>
                <c:pt idx="32">
                  <c:v>Egypt, Arab Rep.</c:v>
                </c:pt>
                <c:pt idx="33">
                  <c:v>El Salvador</c:v>
                </c:pt>
                <c:pt idx="34">
                  <c:v>Eswatini</c:v>
                </c:pt>
                <c:pt idx="35">
                  <c:v>Finland</c:v>
                </c:pt>
                <c:pt idx="36">
                  <c:v>France</c:v>
                </c:pt>
                <c:pt idx="37">
                  <c:v>Gabon</c:v>
                </c:pt>
                <c:pt idx="38">
                  <c:v>Germany</c:v>
                </c:pt>
                <c:pt idx="39">
                  <c:v>Guatemala</c:v>
                </c:pt>
                <c:pt idx="40">
                  <c:v>Haiti</c:v>
                </c:pt>
                <c:pt idx="41">
                  <c:v>Honduras</c:v>
                </c:pt>
                <c:pt idx="42">
                  <c:v>India</c:v>
                </c:pt>
                <c:pt idx="43">
                  <c:v>Iran, Islamic Rep.</c:v>
                </c:pt>
                <c:pt idx="44">
                  <c:v>Ireland</c:v>
                </c:pt>
                <c:pt idx="45">
                  <c:v>Israel</c:v>
                </c:pt>
                <c:pt idx="46">
                  <c:v>Italy</c:v>
                </c:pt>
                <c:pt idx="47">
                  <c:v>Jordan</c:v>
                </c:pt>
                <c:pt idx="48">
                  <c:v>Kazakhstan</c:v>
                </c:pt>
                <c:pt idx="49">
                  <c:v>Kenya</c:v>
                </c:pt>
                <c:pt idx="50">
                  <c:v>Korea, Rep.</c:v>
                </c:pt>
                <c:pt idx="51">
                  <c:v>Kyrgyz Republic</c:v>
                </c:pt>
                <c:pt idx="52">
                  <c:v>Latvia</c:v>
                </c:pt>
                <c:pt idx="53">
                  <c:v>Lebanon</c:v>
                </c:pt>
                <c:pt idx="54">
                  <c:v>Madagascar</c:v>
                </c:pt>
                <c:pt idx="55">
                  <c:v>Malaysia</c:v>
                </c:pt>
                <c:pt idx="56">
                  <c:v>Mali</c:v>
                </c:pt>
                <c:pt idx="57">
                  <c:v>Mauritania</c:v>
                </c:pt>
                <c:pt idx="58">
                  <c:v>Mexico</c:v>
                </c:pt>
                <c:pt idx="59">
                  <c:v>Moldova</c:v>
                </c:pt>
                <c:pt idx="60">
                  <c:v>Morocco</c:v>
                </c:pt>
                <c:pt idx="61">
                  <c:v>Mozambique</c:v>
                </c:pt>
                <c:pt idx="62">
                  <c:v>Namibia</c:v>
                </c:pt>
                <c:pt idx="63">
                  <c:v>Netherlands</c:v>
                </c:pt>
                <c:pt idx="64">
                  <c:v>New Zealand</c:v>
                </c:pt>
                <c:pt idx="65">
                  <c:v>Nicaragua</c:v>
                </c:pt>
                <c:pt idx="66">
                  <c:v>Niger</c:v>
                </c:pt>
                <c:pt idx="67">
                  <c:v>Nigeria</c:v>
                </c:pt>
                <c:pt idx="68">
                  <c:v>North Macedonia</c:v>
                </c:pt>
                <c:pt idx="69">
                  <c:v>Norway</c:v>
                </c:pt>
                <c:pt idx="70">
                  <c:v>Oman</c:v>
                </c:pt>
                <c:pt idx="71">
                  <c:v>Pakistan</c:v>
                </c:pt>
                <c:pt idx="72">
                  <c:v>Panama</c:v>
                </c:pt>
                <c:pt idx="73">
                  <c:v>Peru</c:v>
                </c:pt>
                <c:pt idx="74">
                  <c:v>Philippines</c:v>
                </c:pt>
                <c:pt idx="75">
                  <c:v>Poland</c:v>
                </c:pt>
                <c:pt idx="76">
                  <c:v>Portugal</c:v>
                </c:pt>
                <c:pt idx="77">
                  <c:v>Puerto Rico</c:v>
                </c:pt>
                <c:pt idx="78">
                  <c:v>Romania</c:v>
                </c:pt>
                <c:pt idx="79">
                  <c:v>Russian Federation</c:v>
                </c:pt>
                <c:pt idx="80">
                  <c:v>Rwanda</c:v>
                </c:pt>
                <c:pt idx="81">
                  <c:v>Senegal</c:v>
                </c:pt>
                <c:pt idx="82">
                  <c:v>Serbia</c:v>
                </c:pt>
                <c:pt idx="83">
                  <c:v>Solomon Islands</c:v>
                </c:pt>
                <c:pt idx="84">
                  <c:v>South Africa</c:v>
                </c:pt>
                <c:pt idx="85">
                  <c:v>Spain</c:v>
                </c:pt>
                <c:pt idx="86">
                  <c:v>Sri Lanka</c:v>
                </c:pt>
                <c:pt idx="87">
                  <c:v>Sudan</c:v>
                </c:pt>
                <c:pt idx="88">
                  <c:v>Sweden</c:v>
                </c:pt>
                <c:pt idx="89">
                  <c:v>Switzerland</c:v>
                </c:pt>
                <c:pt idx="90">
                  <c:v>Tanzania</c:v>
                </c:pt>
                <c:pt idx="91">
                  <c:v>Togo</c:v>
                </c:pt>
                <c:pt idx="92">
                  <c:v>Tunisia</c:v>
                </c:pt>
                <c:pt idx="93">
                  <c:v>Turkey</c:v>
                </c:pt>
                <c:pt idx="94">
                  <c:v>Uganda</c:v>
                </c:pt>
                <c:pt idx="95">
                  <c:v>Ukraine</c:v>
                </c:pt>
                <c:pt idx="96">
                  <c:v>United Kingdom</c:v>
                </c:pt>
                <c:pt idx="97">
                  <c:v>United States</c:v>
                </c:pt>
                <c:pt idx="98">
                  <c:v>Uruguay</c:v>
                </c:pt>
                <c:pt idx="99">
                  <c:v>Vietnam</c:v>
                </c:pt>
                <c:pt idx="100">
                  <c:v>West Bank and Gaza</c:v>
                </c:pt>
                <c:pt idx="101">
                  <c:v>Africa Eastern and Southern</c:v>
                </c:pt>
                <c:pt idx="102">
                  <c:v>Africa Western and Central</c:v>
                </c:pt>
                <c:pt idx="103">
                  <c:v>Central Europe and the Baltics</c:v>
                </c:pt>
                <c:pt idx="104">
                  <c:v>Early-demographic dividend</c:v>
                </c:pt>
                <c:pt idx="105">
                  <c:v>East Asia &amp; Pacific (excluding high income)</c:v>
                </c:pt>
                <c:pt idx="106">
                  <c:v>East Asia &amp; Pacific (IDA &amp; IBRD countries)</c:v>
                </c:pt>
                <c:pt idx="107">
                  <c:v>Euro area</c:v>
                </c:pt>
                <c:pt idx="108">
                  <c:v>Europe &amp; Central Asia</c:v>
                </c:pt>
                <c:pt idx="109">
                  <c:v>Europe &amp; Central Asia (excluding high income)</c:v>
                </c:pt>
                <c:pt idx="110">
                  <c:v>Europe &amp; Central Asia (IDA &amp; IBRD countries)</c:v>
                </c:pt>
                <c:pt idx="111">
                  <c:v>European Union</c:v>
                </c:pt>
                <c:pt idx="112">
                  <c:v>Heavily indebted poor countries (HIPC)</c:v>
                </c:pt>
                <c:pt idx="113">
                  <c:v>High income</c:v>
                </c:pt>
                <c:pt idx="114">
                  <c:v>IBRD only</c:v>
                </c:pt>
                <c:pt idx="115">
                  <c:v>IDA &amp; IBRD total</c:v>
                </c:pt>
                <c:pt idx="116">
                  <c:v>IDA blend</c:v>
                </c:pt>
                <c:pt idx="117">
                  <c:v>IDA total</c:v>
                </c:pt>
                <c:pt idx="118">
                  <c:v>Late-demographic dividend</c:v>
                </c:pt>
                <c:pt idx="119">
                  <c:v>Latin America &amp; Caribbean</c:v>
                </c:pt>
                <c:pt idx="120">
                  <c:v>Latin America &amp; Caribbean (excluding high income)</c:v>
                </c:pt>
                <c:pt idx="121">
                  <c:v>Latin America &amp; the Caribbean (IDA &amp; IBRD countries)</c:v>
                </c:pt>
                <c:pt idx="122">
                  <c:v>Low &amp; middle income</c:v>
                </c:pt>
                <c:pt idx="123">
                  <c:v>Lower middle income</c:v>
                </c:pt>
                <c:pt idx="124">
                  <c:v>Middle East &amp; North Africa (excluding high income)</c:v>
                </c:pt>
                <c:pt idx="125">
                  <c:v>Middle East &amp; North Africa (IDA &amp; IBRD countries)</c:v>
                </c:pt>
                <c:pt idx="126">
                  <c:v>Middle income</c:v>
                </c:pt>
                <c:pt idx="127">
                  <c:v>North America</c:v>
                </c:pt>
                <c:pt idx="128">
                  <c:v>OECD members</c:v>
                </c:pt>
                <c:pt idx="129">
                  <c:v>Post-demographic dividend</c:v>
                </c:pt>
                <c:pt idx="130">
                  <c:v>Pre-demographic dividend</c:v>
                </c:pt>
                <c:pt idx="131">
                  <c:v>South Asia</c:v>
                </c:pt>
                <c:pt idx="132">
                  <c:v>South Asia (IDA &amp; IBRD)</c:v>
                </c:pt>
                <c:pt idx="133">
                  <c:v>Sub-Saharan Africa</c:v>
                </c:pt>
                <c:pt idx="134">
                  <c:v>Sub-Saharan Africa (excluding high income)</c:v>
                </c:pt>
                <c:pt idx="135">
                  <c:v>Sub-Saharan Africa (IDA &amp; IBRD countries)</c:v>
                </c:pt>
                <c:pt idx="136">
                  <c:v>Upper middle income</c:v>
                </c:pt>
              </c:strCache>
            </c:strRef>
          </c:cat>
          <c:val>
            <c:numRef>
              <c:f>'4. Growth Rate'!$C$2:$C$138</c:f>
              <c:numCache>
                <c:formatCode>General</c:formatCode>
                <c:ptCount val="137"/>
                <c:pt idx="0">
                  <c:v>0.182082916952737</c:v>
                </c:pt>
                <c:pt idx="1">
                  <c:v>5.36703527408908</c:v>
                </c:pt>
                <c:pt idx="2">
                  <c:v>3.36022607798168</c:v>
                </c:pt>
                <c:pt idx="3">
                  <c:v>-0.458805787141884</c:v>
                </c:pt>
                <c:pt idx="4">
                  <c:v>5.04518867526424</c:v>
                </c:pt>
                <c:pt idx="5">
                  <c:v>5.07153393909728</c:v>
                </c:pt>
                <c:pt idx="6">
                  <c:v>-0.979423981788173</c:v>
                </c:pt>
                <c:pt idx="7">
                  <c:v>2.73770090909512</c:v>
                </c:pt>
                <c:pt idx="8">
                  <c:v>0.52546800356312</c:v>
                </c:pt>
                <c:pt idx="9">
                  <c:v>5.97103263936852</c:v>
                </c:pt>
                <c:pt idx="10">
                  <c:v>3.87310472906779</c:v>
                </c:pt>
                <c:pt idx="11">
                  <c:v>7.32948372060088</c:v>
                </c:pt>
                <c:pt idx="12">
                  <c:v>3.5504169430574</c:v>
                </c:pt>
                <c:pt idx="13">
                  <c:v>-0.140374034666252</c:v>
                </c:pt>
                <c:pt idx="14">
                  <c:v>1.85930189404115</c:v>
                </c:pt>
                <c:pt idx="15">
                  <c:v>2.24564080345806</c:v>
                </c:pt>
                <c:pt idx="16">
                  <c:v>0.509589457331245</c:v>
                </c:pt>
                <c:pt idx="17">
                  <c:v>5.15424061473533</c:v>
                </c:pt>
                <c:pt idx="18">
                  <c:v>1.2781872613147</c:v>
                </c:pt>
                <c:pt idx="19">
                  <c:v>2.2154307876892</c:v>
                </c:pt>
                <c:pt idx="20">
                  <c:v>-2.45757968304592</c:v>
                </c:pt>
                <c:pt idx="21">
                  <c:v>6.24158799712546</c:v>
                </c:pt>
                <c:pt idx="22">
                  <c:v>8.47752084986465</c:v>
                </c:pt>
                <c:pt idx="23">
                  <c:v>5.13951097776825</c:v>
                </c:pt>
                <c:pt idx="24">
                  <c:v>2.1246511891418</c:v>
                </c:pt>
                <c:pt idx="25">
                  <c:v>-3.45955773297739</c:v>
                </c:pt>
                <c:pt idx="26">
                  <c:v>3.02201275222656</c:v>
                </c:pt>
                <c:pt idx="27">
                  <c:v>0.284633656991289</c:v>
                </c:pt>
                <c:pt idx="28">
                  <c:v>1.89210531961972</c:v>
                </c:pt>
                <c:pt idx="29">
                  <c:v>1.36775570458316</c:v>
                </c:pt>
                <c:pt idx="30">
                  <c:v>1.64023940515337</c:v>
                </c:pt>
                <c:pt idx="31">
                  <c:v>6.09307842482203</c:v>
                </c:pt>
                <c:pt idx="32">
                  <c:v>-1.03154547644205</c:v>
                </c:pt>
                <c:pt idx="33">
                  <c:v>3.26667329696637</c:v>
                </c:pt>
                <c:pt idx="34">
                  <c:v>0.576527736989291</c:v>
                </c:pt>
                <c:pt idx="35">
                  <c:v>1.16132291881024</c:v>
                </c:pt>
                <c:pt idx="36">
                  <c:v>2.01884666304126</c:v>
                </c:pt>
                <c:pt idx="37">
                  <c:v>-1.04684280668612</c:v>
                </c:pt>
                <c:pt idx="38">
                  <c:v>6.41669711732371</c:v>
                </c:pt>
                <c:pt idx="39">
                  <c:v>2.0069435811311</c:v>
                </c:pt>
                <c:pt idx="40">
                  <c:v>4.66721886815797</c:v>
                </c:pt>
                <c:pt idx="41">
                  <c:v>1.0707435931503</c:v>
                </c:pt>
                <c:pt idx="42">
                  <c:v>4.09739151623276</c:v>
                </c:pt>
                <c:pt idx="43">
                  <c:v>1.43741651636866</c:v>
                </c:pt>
                <c:pt idx="44">
                  <c:v>-3.01734122094591</c:v>
                </c:pt>
                <c:pt idx="45">
                  <c:v>3.23594684468725</c:v>
                </c:pt>
                <c:pt idx="46">
                  <c:v>0.495069155400458</c:v>
                </c:pt>
                <c:pt idx="47">
                  <c:v>-2.7464855588252</c:v>
                </c:pt>
                <c:pt idx="48">
                  <c:v>1.60112200050693</c:v>
                </c:pt>
                <c:pt idx="49">
                  <c:v>3.68350219653706</c:v>
                </c:pt>
                <c:pt idx="50">
                  <c:v>3.35255025675532</c:v>
                </c:pt>
                <c:pt idx="51">
                  <c:v>-0.580747571555321</c:v>
                </c:pt>
                <c:pt idx="52">
                  <c:v>7.23274603644721</c:v>
                </c:pt>
                <c:pt idx="53">
                  <c:v>-3.22325684501114</c:v>
                </c:pt>
                <c:pt idx="54">
                  <c:v>-1.0654722241574</c:v>
                </c:pt>
                <c:pt idx="55">
                  <c:v>4.50704368060721</c:v>
                </c:pt>
                <c:pt idx="56">
                  <c:v>0.376372713811051</c:v>
                </c:pt>
                <c:pt idx="57">
                  <c:v>-0.329099472907885</c:v>
                </c:pt>
                <c:pt idx="58">
                  <c:v>1.79992396655189</c:v>
                </c:pt>
                <c:pt idx="59">
                  <c:v>5.59073863738664</c:v>
                </c:pt>
                <c:pt idx="60">
                  <c:v>3.53475822922169</c:v>
                </c:pt>
                <c:pt idx="61">
                  <c:v>6.12760750021984</c:v>
                </c:pt>
                <c:pt idx="62">
                  <c:v>4.39057764646068</c:v>
                </c:pt>
                <c:pt idx="63">
                  <c:v>2.18434471310762</c:v>
                </c:pt>
                <c:pt idx="64">
                  <c:v>1.89735967985838</c:v>
                </c:pt>
                <c:pt idx="65">
                  <c:v>4.94749846765272</c:v>
                </c:pt>
                <c:pt idx="66">
                  <c:v>-0.750067525000603</c:v>
                </c:pt>
                <c:pt idx="67">
                  <c:v>2.65816016694195</c:v>
                </c:pt>
                <c:pt idx="68">
                  <c:v>1.89875767320913</c:v>
                </c:pt>
                <c:pt idx="69">
                  <c:v>-0.412312837270065</c:v>
                </c:pt>
                <c:pt idx="70">
                  <c:v>-4.64174842851092</c:v>
                </c:pt>
                <c:pt idx="71">
                  <c:v>0.989386678835729</c:v>
                </c:pt>
                <c:pt idx="72">
                  <c:v>12.2780204863923</c:v>
                </c:pt>
                <c:pt idx="73">
                  <c:v>5.14765935160982</c:v>
                </c:pt>
                <c:pt idx="74">
                  <c:v>1.46573510630863</c:v>
                </c:pt>
                <c:pt idx="75">
                  <c:v>4.68866153770742</c:v>
                </c:pt>
                <c:pt idx="76">
                  <c:v>0.0205099903554924</c:v>
                </c:pt>
                <c:pt idx="77">
                  <c:v>-0.221005694056899</c:v>
                </c:pt>
                <c:pt idx="78">
                  <c:v>2.30009596181246</c:v>
                </c:pt>
                <c:pt idx="79">
                  <c:v>4.19132528746357</c:v>
                </c:pt>
                <c:pt idx="80">
                  <c:v>5.2863457525761</c:v>
                </c:pt>
                <c:pt idx="81">
                  <c:v>-2.04291628336624</c:v>
                </c:pt>
                <c:pt idx="82">
                  <c:v>0.976434826587763</c:v>
                </c:pt>
                <c:pt idx="83">
                  <c:v>2.23556330159708</c:v>
                </c:pt>
                <c:pt idx="84">
                  <c:v>1.23925701839372</c:v>
                </c:pt>
                <c:pt idx="85">
                  <c:v>-1.46124010251194</c:v>
                </c:pt>
                <c:pt idx="86">
                  <c:v>7.7999023792372</c:v>
                </c:pt>
                <c:pt idx="87">
                  <c:v>11.436314518635</c:v>
                </c:pt>
                <c:pt idx="88">
                  <c:v>1.73577989505071</c:v>
                </c:pt>
                <c:pt idx="89">
                  <c:v>-3.59034714292812</c:v>
                </c:pt>
                <c:pt idx="90">
                  <c:v>4.50049396065968</c:v>
                </c:pt>
                <c:pt idx="91">
                  <c:v>10.0859339778089</c:v>
                </c:pt>
                <c:pt idx="92">
                  <c:v>-2.85527203165074</c:v>
                </c:pt>
                <c:pt idx="93">
                  <c:v>9.50366977322021</c:v>
                </c:pt>
                <c:pt idx="94">
                  <c:v>6.10105298467116</c:v>
                </c:pt>
                <c:pt idx="95">
                  <c:v>4.92811201538206</c:v>
                </c:pt>
                <c:pt idx="96">
                  <c:v>0.808253160506126</c:v>
                </c:pt>
                <c:pt idx="97">
                  <c:v>1.02277121275804</c:v>
                </c:pt>
                <c:pt idx="98">
                  <c:v>5.18061453561998</c:v>
                </c:pt>
                <c:pt idx="99">
                  <c:v>4.59001921923488</c:v>
                </c:pt>
                <c:pt idx="100">
                  <c:v>7.51639297864044</c:v>
                </c:pt>
                <c:pt idx="101">
                  <c:v>1.14253623914497</c:v>
                </c:pt>
                <c:pt idx="102">
                  <c:v>2.00584408744575</c:v>
                </c:pt>
                <c:pt idx="103">
                  <c:v>3.05393628328707</c:v>
                </c:pt>
                <c:pt idx="104">
                  <c:v>3.88429174715448</c:v>
                </c:pt>
                <c:pt idx="105">
                  <c:v>7.59504264761326</c:v>
                </c:pt>
                <c:pt idx="106">
                  <c:v>7.59214173256426</c:v>
                </c:pt>
                <c:pt idx="107">
                  <c:v>2.03081685443894</c:v>
                </c:pt>
                <c:pt idx="108">
                  <c:v>1.99081737240674</c:v>
                </c:pt>
                <c:pt idx="109">
                  <c:v>5.06022283317068</c:v>
                </c:pt>
                <c:pt idx="110">
                  <c:v>4.90118633738538</c:v>
                </c:pt>
                <c:pt idx="111">
                  <c:v>2.08903413769983</c:v>
                </c:pt>
                <c:pt idx="112">
                  <c:v>1.65451271495662</c:v>
                </c:pt>
                <c:pt idx="113">
                  <c:v>1.34422792707798</c:v>
                </c:pt>
                <c:pt idx="114">
                  <c:v>5.07904410437081</c:v>
                </c:pt>
                <c:pt idx="115">
                  <c:v>4.6924161264663</c:v>
                </c:pt>
                <c:pt idx="116">
                  <c:v>2.37241008681201</c:v>
                </c:pt>
                <c:pt idx="117">
                  <c:v>2.63036301121973</c:v>
                </c:pt>
                <c:pt idx="118">
                  <c:v>5.95408318591721</c:v>
                </c:pt>
                <c:pt idx="119">
                  <c:v>3.30819218628106</c:v>
                </c:pt>
                <c:pt idx="120">
                  <c:v>3.45899120959916</c:v>
                </c:pt>
                <c:pt idx="121">
                  <c:v>3.36523716811837</c:v>
                </c:pt>
                <c:pt idx="122">
                  <c:v>4.795693096843</c:v>
                </c:pt>
                <c:pt idx="123">
                  <c:v>3.12173730683962</c:v>
                </c:pt>
                <c:pt idx="124">
                  <c:v>0.921444948171384</c:v>
                </c:pt>
                <c:pt idx="125">
                  <c:v>0.86675932441922</c:v>
                </c:pt>
                <c:pt idx="126">
                  <c:v>4.95068984333484</c:v>
                </c:pt>
                <c:pt idx="127">
                  <c:v>1.13540290974036</c:v>
                </c:pt>
                <c:pt idx="128">
                  <c:v>1.38046004267085</c:v>
                </c:pt>
                <c:pt idx="129">
                  <c:v>1.33247688585236</c:v>
                </c:pt>
                <c:pt idx="130">
                  <c:v>1.89055765435511</c:v>
                </c:pt>
                <c:pt idx="131">
                  <c:v>3.92988160098429</c:v>
                </c:pt>
                <c:pt idx="132">
                  <c:v>3.92988160098429</c:v>
                </c:pt>
                <c:pt idx="133">
                  <c:v>1.5199725076549</c:v>
                </c:pt>
                <c:pt idx="134">
                  <c:v>1.51942562318837</c:v>
                </c:pt>
                <c:pt idx="135">
                  <c:v>1.51997250765486</c:v>
                </c:pt>
                <c:pt idx="136">
                  <c:v>5.95577351107235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'4. Growth Rate'!$D$1:$D$1</c:f>
              <c:strCache>
                <c:ptCount val="1"/>
                <c:pt idx="0">
                  <c:v>2019 [YR2019]</c:v>
                </c:pt>
              </c:strCache>
            </c:strRef>
          </c:tx>
          <c:spPr>
            <a:solidFill>
              <a:srgbClr val="9bbb59"/>
            </a:solidFill>
            <a:ln cap="rnd" w="28440">
              <a:solidFill>
                <a:srgbClr val="9bbb59"/>
              </a:solidFill>
              <a:round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Growth Rate'!$A$2:$A$138</c:f>
              <c:strCache>
                <c:ptCount val="137"/>
                <c:pt idx="0">
                  <c:v>Algeria</c:v>
                </c:pt>
                <c:pt idx="1">
                  <c:v>Argentina</c:v>
                </c:pt>
                <c:pt idx="2">
                  <c:v>Armenia</c:v>
                </c:pt>
                <c:pt idx="3">
                  <c:v>Bahamas, The</c:v>
                </c:pt>
                <c:pt idx="4">
                  <c:v>Bangladesh</c:v>
                </c:pt>
                <c:pt idx="5">
                  <c:v>Belarus</c:v>
                </c:pt>
                <c:pt idx="6">
                  <c:v>Belgium</c:v>
                </c:pt>
                <c:pt idx="7">
                  <c:v>Belize</c:v>
                </c:pt>
                <c:pt idx="8">
                  <c:v>Benin</c:v>
                </c:pt>
                <c:pt idx="9">
                  <c:v>Bhutan</c:v>
                </c:pt>
                <c:pt idx="10">
                  <c:v>Bolivia</c:v>
                </c:pt>
                <c:pt idx="11">
                  <c:v>Botswana</c:v>
                </c:pt>
                <c:pt idx="12">
                  <c:v>Brazil</c:v>
                </c:pt>
                <c:pt idx="13">
                  <c:v>Brunei Darussalam</c:v>
                </c:pt>
                <c:pt idx="14">
                  <c:v>Bulgaria</c:v>
                </c:pt>
                <c:pt idx="15">
                  <c:v>Burkina Faso</c:v>
                </c:pt>
                <c:pt idx="16">
                  <c:v>Burundi</c:v>
                </c:pt>
                <c:pt idx="17">
                  <c:v>Cambodia</c:v>
                </c:pt>
                <c:pt idx="18">
                  <c:v>Cameroon</c:v>
                </c:pt>
                <c:pt idx="19">
                  <c:v>Canada</c:v>
                </c:pt>
                <c:pt idx="20">
                  <c:v>Chad</c:v>
                </c:pt>
                <c:pt idx="21">
                  <c:v>Chile</c:v>
                </c:pt>
                <c:pt idx="22">
                  <c:v>China</c:v>
                </c:pt>
                <c:pt idx="23">
                  <c:v>Colombia</c:v>
                </c:pt>
                <c:pt idx="24">
                  <c:v>Congo, Dem. Rep.</c:v>
                </c:pt>
                <c:pt idx="25">
                  <c:v>Congo, Rep.</c:v>
                </c:pt>
                <c:pt idx="26">
                  <c:v>Costa Rica</c:v>
                </c:pt>
                <c:pt idx="27">
                  <c:v>Croatia</c:v>
                </c:pt>
                <c:pt idx="28">
                  <c:v>Cyprus</c:v>
                </c:pt>
                <c:pt idx="29">
                  <c:v>Denmark</c:v>
                </c:pt>
                <c:pt idx="30">
                  <c:v>Dominican Republic</c:v>
                </c:pt>
                <c:pt idx="31">
                  <c:v>Ecuador</c:v>
                </c:pt>
                <c:pt idx="32">
                  <c:v>Egypt, Arab Rep.</c:v>
                </c:pt>
                <c:pt idx="33">
                  <c:v>El Salvador</c:v>
                </c:pt>
                <c:pt idx="34">
                  <c:v>Eswatini</c:v>
                </c:pt>
                <c:pt idx="35">
                  <c:v>Finland</c:v>
                </c:pt>
                <c:pt idx="36">
                  <c:v>France</c:v>
                </c:pt>
                <c:pt idx="37">
                  <c:v>Gabon</c:v>
                </c:pt>
                <c:pt idx="38">
                  <c:v>Germany</c:v>
                </c:pt>
                <c:pt idx="39">
                  <c:v>Guatemala</c:v>
                </c:pt>
                <c:pt idx="40">
                  <c:v>Haiti</c:v>
                </c:pt>
                <c:pt idx="41">
                  <c:v>Honduras</c:v>
                </c:pt>
                <c:pt idx="42">
                  <c:v>India</c:v>
                </c:pt>
                <c:pt idx="43">
                  <c:v>Iran, Islamic Rep.</c:v>
                </c:pt>
                <c:pt idx="44">
                  <c:v>Ireland</c:v>
                </c:pt>
                <c:pt idx="45">
                  <c:v>Israel</c:v>
                </c:pt>
                <c:pt idx="46">
                  <c:v>Italy</c:v>
                </c:pt>
                <c:pt idx="47">
                  <c:v>Jordan</c:v>
                </c:pt>
                <c:pt idx="48">
                  <c:v>Kazakhstan</c:v>
                </c:pt>
                <c:pt idx="49">
                  <c:v>Kenya</c:v>
                </c:pt>
                <c:pt idx="50">
                  <c:v>Korea, Rep.</c:v>
                </c:pt>
                <c:pt idx="51">
                  <c:v>Kyrgyz Republic</c:v>
                </c:pt>
                <c:pt idx="52">
                  <c:v>Latvia</c:v>
                </c:pt>
                <c:pt idx="53">
                  <c:v>Lebanon</c:v>
                </c:pt>
                <c:pt idx="54">
                  <c:v>Madagascar</c:v>
                </c:pt>
                <c:pt idx="55">
                  <c:v>Malaysia</c:v>
                </c:pt>
                <c:pt idx="56">
                  <c:v>Mali</c:v>
                </c:pt>
                <c:pt idx="57">
                  <c:v>Mauritania</c:v>
                </c:pt>
                <c:pt idx="58">
                  <c:v>Mexico</c:v>
                </c:pt>
                <c:pt idx="59">
                  <c:v>Moldova</c:v>
                </c:pt>
                <c:pt idx="60">
                  <c:v>Morocco</c:v>
                </c:pt>
                <c:pt idx="61">
                  <c:v>Mozambique</c:v>
                </c:pt>
                <c:pt idx="62">
                  <c:v>Namibia</c:v>
                </c:pt>
                <c:pt idx="63">
                  <c:v>Netherlands</c:v>
                </c:pt>
                <c:pt idx="64">
                  <c:v>New Zealand</c:v>
                </c:pt>
                <c:pt idx="65">
                  <c:v>Nicaragua</c:v>
                </c:pt>
                <c:pt idx="66">
                  <c:v>Niger</c:v>
                </c:pt>
                <c:pt idx="67">
                  <c:v>Nigeria</c:v>
                </c:pt>
                <c:pt idx="68">
                  <c:v>North Macedonia</c:v>
                </c:pt>
                <c:pt idx="69">
                  <c:v>Norway</c:v>
                </c:pt>
                <c:pt idx="70">
                  <c:v>Oman</c:v>
                </c:pt>
                <c:pt idx="71">
                  <c:v>Pakistan</c:v>
                </c:pt>
                <c:pt idx="72">
                  <c:v>Panama</c:v>
                </c:pt>
                <c:pt idx="73">
                  <c:v>Peru</c:v>
                </c:pt>
                <c:pt idx="74">
                  <c:v>Philippines</c:v>
                </c:pt>
                <c:pt idx="75">
                  <c:v>Poland</c:v>
                </c:pt>
                <c:pt idx="76">
                  <c:v>Portugal</c:v>
                </c:pt>
                <c:pt idx="77">
                  <c:v>Puerto Rico</c:v>
                </c:pt>
                <c:pt idx="78">
                  <c:v>Romania</c:v>
                </c:pt>
                <c:pt idx="79">
                  <c:v>Russian Federation</c:v>
                </c:pt>
                <c:pt idx="80">
                  <c:v>Rwanda</c:v>
                </c:pt>
                <c:pt idx="81">
                  <c:v>Senegal</c:v>
                </c:pt>
                <c:pt idx="82">
                  <c:v>Serbia</c:v>
                </c:pt>
                <c:pt idx="83">
                  <c:v>Solomon Islands</c:v>
                </c:pt>
                <c:pt idx="84">
                  <c:v>South Africa</c:v>
                </c:pt>
                <c:pt idx="85">
                  <c:v>Spain</c:v>
                </c:pt>
                <c:pt idx="86">
                  <c:v>Sri Lanka</c:v>
                </c:pt>
                <c:pt idx="87">
                  <c:v>Sudan</c:v>
                </c:pt>
                <c:pt idx="88">
                  <c:v>Sweden</c:v>
                </c:pt>
                <c:pt idx="89">
                  <c:v>Switzerland</c:v>
                </c:pt>
                <c:pt idx="90">
                  <c:v>Tanzania</c:v>
                </c:pt>
                <c:pt idx="91">
                  <c:v>Togo</c:v>
                </c:pt>
                <c:pt idx="92">
                  <c:v>Tunisia</c:v>
                </c:pt>
                <c:pt idx="93">
                  <c:v>Turkey</c:v>
                </c:pt>
                <c:pt idx="94">
                  <c:v>Uganda</c:v>
                </c:pt>
                <c:pt idx="95">
                  <c:v>Ukraine</c:v>
                </c:pt>
                <c:pt idx="96">
                  <c:v>United Kingdom</c:v>
                </c:pt>
                <c:pt idx="97">
                  <c:v>United States</c:v>
                </c:pt>
                <c:pt idx="98">
                  <c:v>Uruguay</c:v>
                </c:pt>
                <c:pt idx="99">
                  <c:v>Vietnam</c:v>
                </c:pt>
                <c:pt idx="100">
                  <c:v>West Bank and Gaza</c:v>
                </c:pt>
                <c:pt idx="101">
                  <c:v>Africa Eastern and Southern</c:v>
                </c:pt>
                <c:pt idx="102">
                  <c:v>Africa Western and Central</c:v>
                </c:pt>
                <c:pt idx="103">
                  <c:v>Central Europe and the Baltics</c:v>
                </c:pt>
                <c:pt idx="104">
                  <c:v>Early-demographic dividend</c:v>
                </c:pt>
                <c:pt idx="105">
                  <c:v>East Asia &amp; Pacific (excluding high income)</c:v>
                </c:pt>
                <c:pt idx="106">
                  <c:v>East Asia &amp; Pacific (IDA &amp; IBRD countries)</c:v>
                </c:pt>
                <c:pt idx="107">
                  <c:v>Euro area</c:v>
                </c:pt>
                <c:pt idx="108">
                  <c:v>Europe &amp; Central Asia</c:v>
                </c:pt>
                <c:pt idx="109">
                  <c:v>Europe &amp; Central Asia (excluding high income)</c:v>
                </c:pt>
                <c:pt idx="110">
                  <c:v>Europe &amp; Central Asia (IDA &amp; IBRD countries)</c:v>
                </c:pt>
                <c:pt idx="111">
                  <c:v>European Union</c:v>
                </c:pt>
                <c:pt idx="112">
                  <c:v>Heavily indebted poor countries (HIPC)</c:v>
                </c:pt>
                <c:pt idx="113">
                  <c:v>High income</c:v>
                </c:pt>
                <c:pt idx="114">
                  <c:v>IBRD only</c:v>
                </c:pt>
                <c:pt idx="115">
                  <c:v>IDA &amp; IBRD total</c:v>
                </c:pt>
                <c:pt idx="116">
                  <c:v>IDA blend</c:v>
                </c:pt>
                <c:pt idx="117">
                  <c:v>IDA total</c:v>
                </c:pt>
                <c:pt idx="118">
                  <c:v>Late-demographic dividend</c:v>
                </c:pt>
                <c:pt idx="119">
                  <c:v>Latin America &amp; Caribbean</c:v>
                </c:pt>
                <c:pt idx="120">
                  <c:v>Latin America &amp; Caribbean (excluding high income)</c:v>
                </c:pt>
                <c:pt idx="121">
                  <c:v>Latin America &amp; the Caribbean (IDA &amp; IBRD countries)</c:v>
                </c:pt>
                <c:pt idx="122">
                  <c:v>Low &amp; middle income</c:v>
                </c:pt>
                <c:pt idx="123">
                  <c:v>Lower middle income</c:v>
                </c:pt>
                <c:pt idx="124">
                  <c:v>Middle East &amp; North Africa (excluding high income)</c:v>
                </c:pt>
                <c:pt idx="125">
                  <c:v>Middle East &amp; North Africa (IDA &amp; IBRD countries)</c:v>
                </c:pt>
                <c:pt idx="126">
                  <c:v>Middle income</c:v>
                </c:pt>
                <c:pt idx="127">
                  <c:v>North America</c:v>
                </c:pt>
                <c:pt idx="128">
                  <c:v>OECD members</c:v>
                </c:pt>
                <c:pt idx="129">
                  <c:v>Post-demographic dividend</c:v>
                </c:pt>
                <c:pt idx="130">
                  <c:v>Pre-demographic dividend</c:v>
                </c:pt>
                <c:pt idx="131">
                  <c:v>South Asia</c:v>
                </c:pt>
                <c:pt idx="132">
                  <c:v>South Asia (IDA &amp; IBRD)</c:v>
                </c:pt>
                <c:pt idx="133">
                  <c:v>Sub-Saharan Africa</c:v>
                </c:pt>
                <c:pt idx="134">
                  <c:v>Sub-Saharan Africa (excluding high income)</c:v>
                </c:pt>
                <c:pt idx="135">
                  <c:v>Sub-Saharan Africa (IDA &amp; IBRD countries)</c:v>
                </c:pt>
                <c:pt idx="136">
                  <c:v>Upper middle income</c:v>
                </c:pt>
              </c:strCache>
            </c:strRef>
          </c:cat>
          <c:val>
            <c:numRef>
              <c:f>'4. Growth Rate'!$D$2:$D$138</c:f>
              <c:numCache>
                <c:formatCode>General</c:formatCode>
                <c:ptCount val="137"/>
                <c:pt idx="0">
                  <c:v>-1.0953682264676</c:v>
                </c:pt>
                <c:pt idx="1">
                  <c:v>-3.39394801581393</c:v>
                </c:pt>
                <c:pt idx="2">
                  <c:v>7.27454790824467</c:v>
                </c:pt>
                <c:pt idx="3">
                  <c:v>2.24074392772178</c:v>
                </c:pt>
                <c:pt idx="4">
                  <c:v>7.18077922934583</c:v>
                </c:pt>
                <c:pt idx="5">
                  <c:v>2.80492733351477</c:v>
                </c:pt>
                <c:pt idx="6">
                  <c:v>1.51365381781589</c:v>
                </c:pt>
                <c:pt idx="7">
                  <c:v>1.28308798261165</c:v>
                </c:pt>
                <c:pt idx="8">
                  <c:v>4.01188442104076</c:v>
                </c:pt>
                <c:pt idx="9">
                  <c:v>4.16706478494977</c:v>
                </c:pt>
                <c:pt idx="10">
                  <c:v>1.18914750403756</c:v>
                </c:pt>
                <c:pt idx="11">
                  <c:v>1.84360977632781</c:v>
                </c:pt>
                <c:pt idx="12">
                  <c:v>0.762739103124901</c:v>
                </c:pt>
                <c:pt idx="13">
                  <c:v>4.89998030363617</c:v>
                </c:pt>
                <c:pt idx="14">
                  <c:v>6.08443669343784</c:v>
                </c:pt>
                <c:pt idx="15">
                  <c:v>2.73350438235384</c:v>
                </c:pt>
                <c:pt idx="16">
                  <c:v>-1.24755230654004</c:v>
                </c:pt>
                <c:pt idx="17">
                  <c:v>6.68922980004716</c:v>
                </c:pt>
                <c:pt idx="18">
                  <c:v>1.04228901355074</c:v>
                </c:pt>
                <c:pt idx="19">
                  <c:v>0.85013714171447</c:v>
                </c:pt>
                <c:pt idx="20">
                  <c:v>0.144321275931205</c:v>
                </c:pt>
                <c:pt idx="21">
                  <c:v>0.730029166028217</c:v>
                </c:pt>
                <c:pt idx="22">
                  <c:v>5.89416225413156</c:v>
                </c:pt>
                <c:pt idx="23">
                  <c:v>2.28585691635954</c:v>
                </c:pt>
                <c:pt idx="24">
                  <c:v>0.996466436906118</c:v>
                </c:pt>
                <c:pt idx="25">
                  <c:v>-8.68841193160922</c:v>
                </c:pt>
                <c:pt idx="26">
                  <c:v>0.632608501394728</c:v>
                </c:pt>
                <c:pt idx="27">
                  <c:v>3.36463462549534</c:v>
                </c:pt>
                <c:pt idx="28">
                  <c:v>1.51197214875749</c:v>
                </c:pt>
                <c:pt idx="29">
                  <c:v>2.6643380609015</c:v>
                </c:pt>
                <c:pt idx="30">
                  <c:v>3.62215124185713</c:v>
                </c:pt>
                <c:pt idx="31">
                  <c:v>-1.83473055028034</c:v>
                </c:pt>
                <c:pt idx="32">
                  <c:v>2.31828661772397</c:v>
                </c:pt>
                <c:pt idx="33">
                  <c:v>2.75986594939566</c:v>
                </c:pt>
                <c:pt idx="34">
                  <c:v>-2.55523463455894</c:v>
                </c:pt>
                <c:pt idx="35">
                  <c:v>1.23328075195124</c:v>
                </c:pt>
                <c:pt idx="36">
                  <c:v>1.15490959130173</c:v>
                </c:pt>
                <c:pt idx="37">
                  <c:v>-0.742497889249904</c:v>
                </c:pt>
                <c:pt idx="38">
                  <c:v>0.344556681712277</c:v>
                </c:pt>
                <c:pt idx="39">
                  <c:v>2.47409030888299</c:v>
                </c:pt>
                <c:pt idx="40">
                  <c:v>-2.86778955096021</c:v>
                </c:pt>
                <c:pt idx="41">
                  <c:v>1.28761341565958</c:v>
                </c:pt>
                <c:pt idx="42">
                  <c:v>3.114625719781</c:v>
                </c:pt>
                <c:pt idx="43">
                  <c:v>-8.38794608423579</c:v>
                </c:pt>
                <c:pt idx="44">
                  <c:v>1.69381687941686</c:v>
                </c:pt>
                <c:pt idx="45">
                  <c:v>1.08076648156981</c:v>
                </c:pt>
                <c:pt idx="46">
                  <c:v>1.23447991003547</c:v>
                </c:pt>
                <c:pt idx="47">
                  <c:v>1.05661077174383</c:v>
                </c:pt>
                <c:pt idx="48">
                  <c:v>2.96608679570831</c:v>
                </c:pt>
                <c:pt idx="49">
                  <c:v>2.62970181331359</c:v>
                </c:pt>
                <c:pt idx="50">
                  <c:v>2.28865013342603</c:v>
                </c:pt>
                <c:pt idx="51">
                  <c:v>-4.58287214511451</c:v>
                </c:pt>
                <c:pt idx="52">
                  <c:v>2.97345227263803</c:v>
                </c:pt>
                <c:pt idx="53">
                  <c:v>-7.28069967504641</c:v>
                </c:pt>
                <c:pt idx="54">
                  <c:v>1.31683665741176</c:v>
                </c:pt>
                <c:pt idx="55">
                  <c:v>3.3914114589636</c:v>
                </c:pt>
                <c:pt idx="56">
                  <c:v>1.05006725701034</c:v>
                </c:pt>
                <c:pt idx="57">
                  <c:v>2.32063758852645</c:v>
                </c:pt>
                <c:pt idx="58">
                  <c:v>-1.3482844827606</c:v>
                </c:pt>
                <c:pt idx="59">
                  <c:v>5.84468122072816</c:v>
                </c:pt>
                <c:pt idx="60">
                  <c:v>1.20113100466813</c:v>
                </c:pt>
                <c:pt idx="61">
                  <c:v>-0.665806936979436</c:v>
                </c:pt>
                <c:pt idx="62">
                  <c:v>-1.86469666690755</c:v>
                </c:pt>
                <c:pt idx="63">
                  <c:v>0.267639472569599</c:v>
                </c:pt>
                <c:pt idx="64">
                  <c:v>1.14062521484659</c:v>
                </c:pt>
                <c:pt idx="65">
                  <c:v>-3.48417630796504</c:v>
                </c:pt>
                <c:pt idx="66">
                  <c:v>2.00408488984051</c:v>
                </c:pt>
                <c:pt idx="67">
                  <c:v>0.863156668486994</c:v>
                </c:pt>
                <c:pt idx="68">
                  <c:v>2.57561151010661</c:v>
                </c:pt>
                <c:pt idx="69">
                  <c:v>-0.744354163785886</c:v>
                </c:pt>
                <c:pt idx="70">
                  <c:v>-4.92354320309238</c:v>
                </c:pt>
                <c:pt idx="71">
                  <c:v>-1.32434536866843</c:v>
                </c:pt>
                <c:pt idx="72">
                  <c:v>1.8122979969968</c:v>
                </c:pt>
                <c:pt idx="73">
                  <c:v>1.32613918206388</c:v>
                </c:pt>
                <c:pt idx="74">
                  <c:v>3.9958750363167</c:v>
                </c:pt>
                <c:pt idx="75">
                  <c:v>4.71588058069284</c:v>
                </c:pt>
                <c:pt idx="76">
                  <c:v>2.3804193882748</c:v>
                </c:pt>
                <c:pt idx="77">
                  <c:v>0.707825222518906</c:v>
                </c:pt>
                <c:pt idx="78">
                  <c:v>5.17179242481403</c:v>
                </c:pt>
                <c:pt idx="79">
                  <c:v>1.30956512094646</c:v>
                </c:pt>
                <c:pt idx="80">
                  <c:v>6.91725177305247</c:v>
                </c:pt>
                <c:pt idx="81">
                  <c:v>1.32733898172826</c:v>
                </c:pt>
                <c:pt idx="82">
                  <c:v>4.43157211584749</c:v>
                </c:pt>
                <c:pt idx="83">
                  <c:v>-1.16462769272616</c:v>
                </c:pt>
                <c:pt idx="84">
                  <c:v>-0.816738279464474</c:v>
                </c:pt>
                <c:pt idx="85">
                  <c:v>1.19037176101402</c:v>
                </c:pt>
                <c:pt idx="86">
                  <c:v>1.51729554794669</c:v>
                </c:pt>
                <c:pt idx="87">
                  <c:v>-6.31205422441276</c:v>
                </c:pt>
                <c:pt idx="88">
                  <c:v>1.3547461784744</c:v>
                </c:pt>
                <c:pt idx="89">
                  <c:v>3.10634678128167</c:v>
                </c:pt>
                <c:pt idx="90">
                  <c:v>5.39598638331755</c:v>
                </c:pt>
                <c:pt idx="91">
                  <c:v>2.97385293463476</c:v>
                </c:pt>
                <c:pt idx="92">
                  <c:v>-0.662578134245834</c:v>
                </c:pt>
                <c:pt idx="93">
                  <c:v>-0.560161048156985</c:v>
                </c:pt>
                <c:pt idx="94">
                  <c:v>3.30947600431098</c:v>
                </c:pt>
                <c:pt idx="95">
                  <c:v>4.28173916738686</c:v>
                </c:pt>
                <c:pt idx="96">
                  <c:v>0.411769810025646</c:v>
                </c:pt>
                <c:pt idx="97">
                  <c:v>1.57554487505965</c:v>
                </c:pt>
                <c:pt idx="98">
                  <c:v>0.70933419151325</c:v>
                </c:pt>
                <c:pt idx="99">
                  <c:v>6.52439146598769</c:v>
                </c:pt>
                <c:pt idx="100">
                  <c:v>-0.456745436718478</c:v>
                </c:pt>
                <c:pt idx="101">
                  <c:v>-1.29400425280186</c:v>
                </c:pt>
                <c:pt idx="102">
                  <c:v>1.06177041490292</c:v>
                </c:pt>
                <c:pt idx="103">
                  <c:v>4.2889168562654</c:v>
                </c:pt>
                <c:pt idx="104">
                  <c:v>0.7175995090535</c:v>
                </c:pt>
                <c:pt idx="105">
                  <c:v>5.47396244589815</c:v>
                </c:pt>
                <c:pt idx="106">
                  <c:v>5.47235499008474</c:v>
                </c:pt>
                <c:pt idx="107">
                  <c:v>1.0516839557899</c:v>
                </c:pt>
                <c:pt idx="108">
                  <c:v>1.15431449470637</c:v>
                </c:pt>
                <c:pt idx="109">
                  <c:v>1.2565996687717</c:v>
                </c:pt>
                <c:pt idx="110">
                  <c:v>1.73077722319879</c:v>
                </c:pt>
                <c:pt idx="111">
                  <c:v>1.42364981382124</c:v>
                </c:pt>
                <c:pt idx="112">
                  <c:v>0.654667420001132</c:v>
                </c:pt>
                <c:pt idx="113">
                  <c:v>1.34123810065705</c:v>
                </c:pt>
                <c:pt idx="114">
                  <c:v>2.956442160696</c:v>
                </c:pt>
                <c:pt idx="115">
                  <c:v>2.57333756167266</c:v>
                </c:pt>
                <c:pt idx="116">
                  <c:v>0.368995322999368</c:v>
                </c:pt>
                <c:pt idx="117">
                  <c:v>1.40654219374754</c:v>
                </c:pt>
                <c:pt idx="118">
                  <c:v>4.16886496478115</c:v>
                </c:pt>
                <c:pt idx="119">
                  <c:v>0.122252616343516</c:v>
                </c:pt>
                <c:pt idx="120">
                  <c:v>-0.0366518523321275</c:v>
                </c:pt>
                <c:pt idx="121">
                  <c:v>0.0984129394663711</c:v>
                </c:pt>
                <c:pt idx="122">
                  <c:v>2.56128633925418</c:v>
                </c:pt>
                <c:pt idx="123">
                  <c:v>1.91361362922142</c:v>
                </c:pt>
                <c:pt idx="124">
                  <c:v>-2.52440333777092</c:v>
                </c:pt>
                <c:pt idx="125">
                  <c:v>-2.54623739038692</c:v>
                </c:pt>
                <c:pt idx="126">
                  <c:v>2.73946143322851</c:v>
                </c:pt>
                <c:pt idx="127">
                  <c:v>1.49922052207413</c:v>
                </c:pt>
                <c:pt idx="128">
                  <c:v>1.19655747230712</c:v>
                </c:pt>
                <c:pt idx="129">
                  <c:v>1.45905092372065</c:v>
                </c:pt>
                <c:pt idx="130">
                  <c:v>0.517647005145989</c:v>
                </c:pt>
                <c:pt idx="131">
                  <c:v>2.91747297314622</c:v>
                </c:pt>
                <c:pt idx="132">
                  <c:v>2.91747297314622</c:v>
                </c:pt>
                <c:pt idx="133">
                  <c:v>-0.211957597454472</c:v>
                </c:pt>
                <c:pt idx="134">
                  <c:v>-0.212111475841354</c:v>
                </c:pt>
                <c:pt idx="135">
                  <c:v>-0.211957597454472</c:v>
                </c:pt>
                <c:pt idx="136">
                  <c:v>3.38629117064801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9765098"/>
        <c:axId val="12723241"/>
      </c:lineChart>
      <c:catAx>
        <c:axId val="697650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2723241"/>
        <c:crosses val="autoZero"/>
        <c:auto val="1"/>
        <c:lblAlgn val="ctr"/>
        <c:lblOffset val="100"/>
        <c:noMultiLvlLbl val="0"/>
      </c:catAx>
      <c:valAx>
        <c:axId val="1272324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976509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IN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IN" sz="1400" spc="-1" strike="noStrike">
                <a:solidFill>
                  <a:srgbClr val="595959"/>
                </a:solidFill>
                <a:latin typeface="Calibri"/>
              </a:rPr>
              <a:t>Kuznet's 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f81bd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'7. Alternative Kuznets Curve'!$B$3:$B$191</c:f>
              <c:numCache>
                <c:formatCode>General</c:formatCode>
                <c:ptCount val="152"/>
                <c:pt idx="0">
                  <c:v>754</c:v>
                </c:pt>
                <c:pt idx="1">
                  <c:v>993</c:v>
                </c:pt>
                <c:pt idx="2">
                  <c:v>1035</c:v>
                </c:pt>
                <c:pt idx="3">
                  <c:v>1063</c:v>
                </c:pt>
                <c:pt idx="4">
                  <c:v>1201</c:v>
                </c:pt>
                <c:pt idx="5">
                  <c:v>1250</c:v>
                </c:pt>
                <c:pt idx="6">
                  <c:v>1258</c:v>
                </c:pt>
                <c:pt idx="7">
                  <c:v>1555</c:v>
                </c:pt>
                <c:pt idx="8">
                  <c:v>1594</c:v>
                </c:pt>
                <c:pt idx="9">
                  <c:v>1596</c:v>
                </c:pt>
                <c:pt idx="10">
                  <c:v>1602</c:v>
                </c:pt>
                <c:pt idx="11">
                  <c:v>1668</c:v>
                </c:pt>
                <c:pt idx="12">
                  <c:v>1709</c:v>
                </c:pt>
                <c:pt idx="13">
                  <c:v>1996</c:v>
                </c:pt>
                <c:pt idx="14">
                  <c:v>2003</c:v>
                </c:pt>
                <c:pt idx="15">
                  <c:v>2123</c:v>
                </c:pt>
                <c:pt idx="16">
                  <c:v>2133</c:v>
                </c:pt>
                <c:pt idx="17">
                  <c:v>2155</c:v>
                </c:pt>
                <c:pt idx="18">
                  <c:v>2168</c:v>
                </c:pt>
                <c:pt idx="19">
                  <c:v>2207</c:v>
                </c:pt>
                <c:pt idx="20">
                  <c:v>2253</c:v>
                </c:pt>
                <c:pt idx="21">
                  <c:v>2269</c:v>
                </c:pt>
                <c:pt idx="22">
                  <c:v>2405</c:v>
                </c:pt>
                <c:pt idx="23">
                  <c:v>2600</c:v>
                </c:pt>
                <c:pt idx="24">
                  <c:v>2666</c:v>
                </c:pt>
                <c:pt idx="25">
                  <c:v>2879</c:v>
                </c:pt>
                <c:pt idx="26">
                  <c:v>3099</c:v>
                </c:pt>
                <c:pt idx="27">
                  <c:v>3105</c:v>
                </c:pt>
                <c:pt idx="28">
                  <c:v>3151</c:v>
                </c:pt>
                <c:pt idx="29">
                  <c:v>3254</c:v>
                </c:pt>
                <c:pt idx="30">
                  <c:v>3309</c:v>
                </c:pt>
                <c:pt idx="31">
                  <c:v>3326</c:v>
                </c:pt>
                <c:pt idx="32">
                  <c:v>3457</c:v>
                </c:pt>
                <c:pt idx="33">
                  <c:v>3581</c:v>
                </c:pt>
                <c:pt idx="34">
                  <c:v>3829</c:v>
                </c:pt>
                <c:pt idx="35">
                  <c:v>3952</c:v>
                </c:pt>
                <c:pt idx="36">
                  <c:v>3954</c:v>
                </c:pt>
                <c:pt idx="37">
                  <c:v>3983</c:v>
                </c:pt>
                <c:pt idx="38">
                  <c:v>4244</c:v>
                </c:pt>
                <c:pt idx="39">
                  <c:v>4301</c:v>
                </c:pt>
                <c:pt idx="40">
                  <c:v>4440</c:v>
                </c:pt>
                <c:pt idx="41">
                  <c:v>4864</c:v>
                </c:pt>
                <c:pt idx="42">
                  <c:v>4910</c:v>
                </c:pt>
                <c:pt idx="43">
                  <c:v>4961</c:v>
                </c:pt>
                <c:pt idx="44">
                  <c:v>4976</c:v>
                </c:pt>
                <c:pt idx="45">
                  <c:v>5005</c:v>
                </c:pt>
                <c:pt idx="46">
                  <c:v>5069</c:v>
                </c:pt>
                <c:pt idx="47">
                  <c:v>5135</c:v>
                </c:pt>
                <c:pt idx="48">
                  <c:v>5269</c:v>
                </c:pt>
                <c:pt idx="49">
                  <c:v>5284</c:v>
                </c:pt>
                <c:pt idx="50">
                  <c:v>5308</c:v>
                </c:pt>
                <c:pt idx="51">
                  <c:v>5689</c:v>
                </c:pt>
                <c:pt idx="52">
                  <c:v>6104</c:v>
                </c:pt>
                <c:pt idx="53">
                  <c:v>6132</c:v>
                </c:pt>
                <c:pt idx="54">
                  <c:v>6309</c:v>
                </c:pt>
                <c:pt idx="55">
                  <c:v>6365</c:v>
                </c:pt>
                <c:pt idx="56">
                  <c:v>6417</c:v>
                </c:pt>
                <c:pt idx="57">
                  <c:v>6681</c:v>
                </c:pt>
                <c:pt idx="58">
                  <c:v>7019</c:v>
                </c:pt>
                <c:pt idx="59">
                  <c:v>7368</c:v>
                </c:pt>
                <c:pt idx="60">
                  <c:v>7413</c:v>
                </c:pt>
                <c:pt idx="61">
                  <c:v>7433</c:v>
                </c:pt>
                <c:pt idx="62">
                  <c:v>7919</c:v>
                </c:pt>
                <c:pt idx="63">
                  <c:v>8359</c:v>
                </c:pt>
                <c:pt idx="64">
                  <c:v>8494</c:v>
                </c:pt>
                <c:pt idx="65">
                  <c:v>8554</c:v>
                </c:pt>
                <c:pt idx="66">
                  <c:v>9357</c:v>
                </c:pt>
                <c:pt idx="67">
                  <c:v>9778</c:v>
                </c:pt>
                <c:pt idx="68">
                  <c:v>9858</c:v>
                </c:pt>
                <c:pt idx="69">
                  <c:v>10414</c:v>
                </c:pt>
                <c:pt idx="70">
                  <c:v>10746</c:v>
                </c:pt>
                <c:pt idx="71">
                  <c:v>10801</c:v>
                </c:pt>
                <c:pt idx="72">
                  <c:v>10839</c:v>
                </c:pt>
                <c:pt idx="73">
                  <c:v>11044</c:v>
                </c:pt>
                <c:pt idx="74">
                  <c:v>11174</c:v>
                </c:pt>
                <c:pt idx="75">
                  <c:v>11459</c:v>
                </c:pt>
                <c:pt idx="76">
                  <c:v>11466</c:v>
                </c:pt>
                <c:pt idx="77">
                  <c:v>12129</c:v>
                </c:pt>
                <c:pt idx="78">
                  <c:v>12224</c:v>
                </c:pt>
                <c:pt idx="79">
                  <c:v>12252</c:v>
                </c:pt>
                <c:pt idx="80">
                  <c:v>12447</c:v>
                </c:pt>
                <c:pt idx="81">
                  <c:v>12707</c:v>
                </c:pt>
                <c:pt idx="82">
                  <c:v>13009</c:v>
                </c:pt>
                <c:pt idx="83">
                  <c:v>13216</c:v>
                </c:pt>
                <c:pt idx="84">
                  <c:v>13664</c:v>
                </c:pt>
                <c:pt idx="85">
                  <c:v>13894</c:v>
                </c:pt>
                <c:pt idx="86">
                  <c:v>13930</c:v>
                </c:pt>
                <c:pt idx="87">
                  <c:v>13998</c:v>
                </c:pt>
                <c:pt idx="88">
                  <c:v>14257</c:v>
                </c:pt>
                <c:pt idx="89">
                  <c:v>14263</c:v>
                </c:pt>
                <c:pt idx="90">
                  <c:v>14429</c:v>
                </c:pt>
                <c:pt idx="91">
                  <c:v>14616</c:v>
                </c:pt>
                <c:pt idx="92">
                  <c:v>14655</c:v>
                </c:pt>
                <c:pt idx="93">
                  <c:v>14872</c:v>
                </c:pt>
                <c:pt idx="94">
                  <c:v>15865</c:v>
                </c:pt>
                <c:pt idx="95">
                  <c:v>16057</c:v>
                </c:pt>
                <c:pt idx="96">
                  <c:v>16437</c:v>
                </c:pt>
                <c:pt idx="97">
                  <c:v>17192</c:v>
                </c:pt>
                <c:pt idx="98">
                  <c:v>17417</c:v>
                </c:pt>
                <c:pt idx="99">
                  <c:v>17591</c:v>
                </c:pt>
                <c:pt idx="100">
                  <c:v>17781</c:v>
                </c:pt>
                <c:pt idx="101">
                  <c:v>18486</c:v>
                </c:pt>
                <c:pt idx="102">
                  <c:v>18546</c:v>
                </c:pt>
                <c:pt idx="103">
                  <c:v>19160</c:v>
                </c:pt>
                <c:pt idx="104">
                  <c:v>20064</c:v>
                </c:pt>
                <c:pt idx="105">
                  <c:v>21190</c:v>
                </c:pt>
                <c:pt idx="106">
                  <c:v>21399</c:v>
                </c:pt>
                <c:pt idx="107">
                  <c:v>22857</c:v>
                </c:pt>
                <c:pt idx="108">
                  <c:v>23261</c:v>
                </c:pt>
                <c:pt idx="109">
                  <c:v>23325</c:v>
                </c:pt>
                <c:pt idx="110">
                  <c:v>25266</c:v>
                </c:pt>
                <c:pt idx="111">
                  <c:v>26157</c:v>
                </c:pt>
                <c:pt idx="112">
                  <c:v>26903</c:v>
                </c:pt>
                <c:pt idx="113">
                  <c:v>27534</c:v>
                </c:pt>
                <c:pt idx="114">
                  <c:v>27701</c:v>
                </c:pt>
                <c:pt idx="115">
                  <c:v>28070</c:v>
                </c:pt>
                <c:pt idx="116">
                  <c:v>29497</c:v>
                </c:pt>
                <c:pt idx="117">
                  <c:v>29558</c:v>
                </c:pt>
                <c:pt idx="118">
                  <c:v>30155</c:v>
                </c:pt>
                <c:pt idx="119">
                  <c:v>30282</c:v>
                </c:pt>
                <c:pt idx="120">
                  <c:v>31329</c:v>
                </c:pt>
                <c:pt idx="121">
                  <c:v>31623</c:v>
                </c:pt>
                <c:pt idx="122">
                  <c:v>32113</c:v>
                </c:pt>
                <c:pt idx="123">
                  <c:v>33967</c:v>
                </c:pt>
                <c:pt idx="124">
                  <c:v>35799</c:v>
                </c:pt>
                <c:pt idx="125">
                  <c:v>36019</c:v>
                </c:pt>
                <c:pt idx="126">
                  <c:v>38080</c:v>
                </c:pt>
                <c:pt idx="127">
                  <c:v>38109</c:v>
                </c:pt>
                <c:pt idx="128">
                  <c:v>38207</c:v>
                </c:pt>
                <c:pt idx="129">
                  <c:v>39555</c:v>
                </c:pt>
                <c:pt idx="130">
                  <c:v>40187</c:v>
                </c:pt>
                <c:pt idx="131">
                  <c:v>40975</c:v>
                </c:pt>
                <c:pt idx="132">
                  <c:v>42776</c:v>
                </c:pt>
                <c:pt idx="133">
                  <c:v>42932</c:v>
                </c:pt>
                <c:pt idx="134">
                  <c:v>43044</c:v>
                </c:pt>
                <c:pt idx="135">
                  <c:v>46071</c:v>
                </c:pt>
                <c:pt idx="136">
                  <c:v>47173</c:v>
                </c:pt>
                <c:pt idx="137">
                  <c:v>48085</c:v>
                </c:pt>
                <c:pt idx="138">
                  <c:v>48511</c:v>
                </c:pt>
                <c:pt idx="139">
                  <c:v>48527</c:v>
                </c:pt>
                <c:pt idx="140">
                  <c:v>52085</c:v>
                </c:pt>
                <c:pt idx="141">
                  <c:v>54508</c:v>
                </c:pt>
                <c:pt idx="142">
                  <c:v>54682</c:v>
                </c:pt>
                <c:pt idx="143">
                  <c:v>55314</c:v>
                </c:pt>
                <c:pt idx="144">
                  <c:v>56197</c:v>
                </c:pt>
                <c:pt idx="145">
                  <c:v>57707</c:v>
                </c:pt>
                <c:pt idx="146">
                  <c:v>58662</c:v>
                </c:pt>
                <c:pt idx="147">
                  <c:v>63826</c:v>
                </c:pt>
                <c:pt idx="148">
                  <c:v>66494</c:v>
                </c:pt>
                <c:pt idx="149">
                  <c:v>68371</c:v>
                </c:pt>
                <c:pt idx="150">
                  <c:v>69394</c:v>
                </c:pt>
                <c:pt idx="151">
                  <c:v>72712</c:v>
                </c:pt>
              </c:numCache>
            </c:numRef>
          </c:xVal>
          <c:yVal>
            <c:numRef>
              <c:f>'7. Alternative Kuznets Curve'!$C$3:$C$191</c:f>
              <c:numCache>
                <c:formatCode>General</c:formatCode>
                <c:ptCount val="152"/>
                <c:pt idx="0">
                  <c:v>1.7</c:v>
                </c:pt>
                <c:pt idx="1">
                  <c:v>4.5</c:v>
                </c:pt>
                <c:pt idx="2">
                  <c:v>2.4</c:v>
                </c:pt>
                <c:pt idx="3">
                  <c:v>2.1</c:v>
                </c:pt>
                <c:pt idx="4">
                  <c:v>1.4</c:v>
                </c:pt>
                <c:pt idx="5">
                  <c:v>3.9</c:v>
                </c:pt>
                <c:pt idx="6">
                  <c:v>1.4</c:v>
                </c:pt>
                <c:pt idx="7">
                  <c:v>2.2</c:v>
                </c:pt>
                <c:pt idx="8">
                  <c:v>1.6</c:v>
                </c:pt>
                <c:pt idx="9">
                  <c:v>2.1</c:v>
                </c:pt>
                <c:pt idx="10">
                  <c:v>2.2</c:v>
                </c:pt>
                <c:pt idx="11">
                  <c:v>1.4</c:v>
                </c:pt>
                <c:pt idx="12">
                  <c:v>2</c:v>
                </c:pt>
                <c:pt idx="13">
                  <c:v>3.3</c:v>
                </c:pt>
                <c:pt idx="14">
                  <c:v>2.7</c:v>
                </c:pt>
                <c:pt idx="15">
                  <c:v>2.1</c:v>
                </c:pt>
                <c:pt idx="16">
                  <c:v>1.5</c:v>
                </c:pt>
                <c:pt idx="17">
                  <c:v>2.3</c:v>
                </c:pt>
                <c:pt idx="18">
                  <c:v>1.5</c:v>
                </c:pt>
                <c:pt idx="19">
                  <c:v>1.8</c:v>
                </c:pt>
                <c:pt idx="20">
                  <c:v>1.6</c:v>
                </c:pt>
                <c:pt idx="21">
                  <c:v>1.3</c:v>
                </c:pt>
                <c:pt idx="22">
                  <c:v>1.3</c:v>
                </c:pt>
                <c:pt idx="23">
                  <c:v>1.7</c:v>
                </c:pt>
                <c:pt idx="24">
                  <c:v>2.2</c:v>
                </c:pt>
                <c:pt idx="25">
                  <c:v>3.1</c:v>
                </c:pt>
                <c:pt idx="26">
                  <c:v>2.5</c:v>
                </c:pt>
                <c:pt idx="27">
                  <c:v>1.6</c:v>
                </c:pt>
                <c:pt idx="28">
                  <c:v>4.3</c:v>
                </c:pt>
                <c:pt idx="29">
                  <c:v>2.9</c:v>
                </c:pt>
                <c:pt idx="30">
                  <c:v>1.9</c:v>
                </c:pt>
                <c:pt idx="31">
                  <c:v>5</c:v>
                </c:pt>
                <c:pt idx="32">
                  <c:v>1.3</c:v>
                </c:pt>
                <c:pt idx="33">
                  <c:v>2.7</c:v>
                </c:pt>
                <c:pt idx="34">
                  <c:v>1.4</c:v>
                </c:pt>
                <c:pt idx="35">
                  <c:v>1.1</c:v>
                </c:pt>
                <c:pt idx="36">
                  <c:v>1.4</c:v>
                </c:pt>
                <c:pt idx="37">
                  <c:v>1.8</c:v>
                </c:pt>
                <c:pt idx="38">
                  <c:v>1.9</c:v>
                </c:pt>
                <c:pt idx="39">
                  <c:v>2</c:v>
                </c:pt>
                <c:pt idx="40">
                  <c:v>1.1</c:v>
                </c:pt>
                <c:pt idx="41">
                  <c:v>1</c:v>
                </c:pt>
                <c:pt idx="42">
                  <c:v>2.2</c:v>
                </c:pt>
                <c:pt idx="43">
                  <c:v>1.7</c:v>
                </c:pt>
                <c:pt idx="44">
                  <c:v>1.3</c:v>
                </c:pt>
                <c:pt idx="45">
                  <c:v>1.4</c:v>
                </c:pt>
                <c:pt idx="46">
                  <c:v>2</c:v>
                </c:pt>
                <c:pt idx="47">
                  <c:v>1.3</c:v>
                </c:pt>
                <c:pt idx="48">
                  <c:v>2.3</c:v>
                </c:pt>
                <c:pt idx="49">
                  <c:v>2.6</c:v>
                </c:pt>
                <c:pt idx="50">
                  <c:v>3.4</c:v>
                </c:pt>
                <c:pt idx="51">
                  <c:v>2</c:v>
                </c:pt>
                <c:pt idx="52">
                  <c:v>2.1</c:v>
                </c:pt>
                <c:pt idx="53">
                  <c:v>1.8</c:v>
                </c:pt>
                <c:pt idx="54">
                  <c:v>1.8</c:v>
                </c:pt>
                <c:pt idx="55">
                  <c:v>1.6</c:v>
                </c:pt>
                <c:pt idx="56">
                  <c:v>1.3</c:v>
                </c:pt>
                <c:pt idx="57">
                  <c:v>1.5</c:v>
                </c:pt>
                <c:pt idx="58">
                  <c:v>2.7</c:v>
                </c:pt>
                <c:pt idx="59">
                  <c:v>1.8</c:v>
                </c:pt>
                <c:pt idx="60">
                  <c:v>1.6</c:v>
                </c:pt>
                <c:pt idx="61">
                  <c:v>1.4</c:v>
                </c:pt>
                <c:pt idx="62">
                  <c:v>3.5</c:v>
                </c:pt>
                <c:pt idx="63">
                  <c:v>1.7</c:v>
                </c:pt>
                <c:pt idx="64">
                  <c:v>2.9</c:v>
                </c:pt>
                <c:pt idx="65">
                  <c:v>2.3</c:v>
                </c:pt>
                <c:pt idx="66">
                  <c:v>5.5</c:v>
                </c:pt>
                <c:pt idx="67">
                  <c:v>1.9</c:v>
                </c:pt>
                <c:pt idx="68">
                  <c:v>1.4</c:v>
                </c:pt>
                <c:pt idx="69">
                  <c:v>1.3</c:v>
                </c:pt>
                <c:pt idx="70">
                  <c:v>1.6</c:v>
                </c:pt>
                <c:pt idx="71">
                  <c:v>1.1</c:v>
                </c:pt>
                <c:pt idx="72">
                  <c:v>1.3</c:v>
                </c:pt>
                <c:pt idx="73">
                  <c:v>2.4</c:v>
                </c:pt>
                <c:pt idx="74">
                  <c:v>1</c:v>
                </c:pt>
                <c:pt idx="75">
                  <c:v>1.7</c:v>
                </c:pt>
                <c:pt idx="76">
                  <c:v>1.3</c:v>
                </c:pt>
                <c:pt idx="77">
                  <c:v>7</c:v>
                </c:pt>
                <c:pt idx="78">
                  <c:v>3</c:v>
                </c:pt>
                <c:pt idx="79">
                  <c:v>2.2</c:v>
                </c:pt>
                <c:pt idx="80">
                  <c:v>1.9</c:v>
                </c:pt>
                <c:pt idx="81">
                  <c:v>1.9</c:v>
                </c:pt>
                <c:pt idx="82">
                  <c:v>1.6</c:v>
                </c:pt>
                <c:pt idx="83">
                  <c:v>0.9</c:v>
                </c:pt>
                <c:pt idx="84">
                  <c:v>0.9</c:v>
                </c:pt>
                <c:pt idx="85">
                  <c:v>1.4</c:v>
                </c:pt>
                <c:pt idx="86">
                  <c:v>1.6</c:v>
                </c:pt>
                <c:pt idx="87">
                  <c:v>1</c:v>
                </c:pt>
                <c:pt idx="88">
                  <c:v>3.1</c:v>
                </c:pt>
                <c:pt idx="89">
                  <c:v>4</c:v>
                </c:pt>
                <c:pt idx="90">
                  <c:v>1.7</c:v>
                </c:pt>
                <c:pt idx="91">
                  <c:v>3.5</c:v>
                </c:pt>
                <c:pt idx="92">
                  <c:v>1.2</c:v>
                </c:pt>
                <c:pt idx="93">
                  <c:v>1.3</c:v>
                </c:pt>
                <c:pt idx="94">
                  <c:v>1.4</c:v>
                </c:pt>
                <c:pt idx="95">
                  <c:v>1.7</c:v>
                </c:pt>
                <c:pt idx="96">
                  <c:v>3.8</c:v>
                </c:pt>
                <c:pt idx="97">
                  <c:v>1</c:v>
                </c:pt>
                <c:pt idx="98">
                  <c:v>1.7</c:v>
                </c:pt>
                <c:pt idx="99">
                  <c:v>2.5</c:v>
                </c:pt>
                <c:pt idx="100">
                  <c:v>1.5</c:v>
                </c:pt>
                <c:pt idx="101">
                  <c:v>2.9</c:v>
                </c:pt>
                <c:pt idx="102">
                  <c:v>0.9</c:v>
                </c:pt>
                <c:pt idx="103">
                  <c:v>2.3</c:v>
                </c:pt>
                <c:pt idx="104">
                  <c:v>1.8</c:v>
                </c:pt>
                <c:pt idx="105">
                  <c:v>1.9</c:v>
                </c:pt>
                <c:pt idx="106">
                  <c:v>1.2</c:v>
                </c:pt>
                <c:pt idx="107">
                  <c:v>1</c:v>
                </c:pt>
                <c:pt idx="108">
                  <c:v>2.6</c:v>
                </c:pt>
                <c:pt idx="109">
                  <c:v>1.6</c:v>
                </c:pt>
                <c:pt idx="110">
                  <c:v>1.5</c:v>
                </c:pt>
                <c:pt idx="111">
                  <c:v>1.6</c:v>
                </c:pt>
                <c:pt idx="112">
                  <c:v>2.6</c:v>
                </c:pt>
                <c:pt idx="113">
                  <c:v>2</c:v>
                </c:pt>
                <c:pt idx="114">
                  <c:v>2.1</c:v>
                </c:pt>
                <c:pt idx="115">
                  <c:v>1.1</c:v>
                </c:pt>
                <c:pt idx="116">
                  <c:v>1.5</c:v>
                </c:pt>
                <c:pt idx="117">
                  <c:v>3.3</c:v>
                </c:pt>
                <c:pt idx="118">
                  <c:v>1.5</c:v>
                </c:pt>
                <c:pt idx="119">
                  <c:v>1.4</c:v>
                </c:pt>
                <c:pt idx="120">
                  <c:v>1.1</c:v>
                </c:pt>
                <c:pt idx="121">
                  <c:v>1.1</c:v>
                </c:pt>
                <c:pt idx="122">
                  <c:v>0.9</c:v>
                </c:pt>
                <c:pt idx="123">
                  <c:v>1.5</c:v>
                </c:pt>
                <c:pt idx="124">
                  <c:v>1.6</c:v>
                </c:pt>
                <c:pt idx="125">
                  <c:v>1.2</c:v>
                </c:pt>
                <c:pt idx="126">
                  <c:v>0.9</c:v>
                </c:pt>
                <c:pt idx="127">
                  <c:v>0.9</c:v>
                </c:pt>
                <c:pt idx="128">
                  <c:v>1.4</c:v>
                </c:pt>
                <c:pt idx="129">
                  <c:v>1.1</c:v>
                </c:pt>
                <c:pt idx="130">
                  <c:v>1.7</c:v>
                </c:pt>
                <c:pt idx="131">
                  <c:v>1.5</c:v>
                </c:pt>
                <c:pt idx="132">
                  <c:v>1.4</c:v>
                </c:pt>
                <c:pt idx="133">
                  <c:v>1.2</c:v>
                </c:pt>
                <c:pt idx="134">
                  <c:v>1.2</c:v>
                </c:pt>
                <c:pt idx="135">
                  <c:v>1.3</c:v>
                </c:pt>
                <c:pt idx="136">
                  <c:v>1.3</c:v>
                </c:pt>
                <c:pt idx="137">
                  <c:v>1.5</c:v>
                </c:pt>
                <c:pt idx="138">
                  <c:v>1</c:v>
                </c:pt>
                <c:pt idx="139">
                  <c:v>1.3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1.2</c:v>
                </c:pt>
                <c:pt idx="144">
                  <c:v>1.1</c:v>
                </c:pt>
                <c:pt idx="145">
                  <c:v>1</c:v>
                </c:pt>
                <c:pt idx="146">
                  <c:v>1</c:v>
                </c:pt>
                <c:pt idx="147">
                  <c:v>2</c:v>
                </c:pt>
                <c:pt idx="148">
                  <c:v>1</c:v>
                </c:pt>
                <c:pt idx="149">
                  <c:v>1.2</c:v>
                </c:pt>
                <c:pt idx="150">
                  <c:v>1.2</c:v>
                </c:pt>
                <c:pt idx="151">
                  <c:v>1.3</c:v>
                </c:pt>
              </c:numCache>
            </c:numRef>
          </c:yVal>
          <c:smooth val="0"/>
        </c:ser>
        <c:axId val="16981751"/>
        <c:axId val="93485685"/>
      </c:scatterChart>
      <c:valAx>
        <c:axId val="1698175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3485685"/>
        <c:crosses val="autoZero"/>
        <c:crossBetween val="midCat"/>
      </c:valAx>
      <c:valAx>
        <c:axId val="9348568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698175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392040</xdr:colOff>
      <xdr:row>13</xdr:row>
      <xdr:rowOff>108720</xdr:rowOff>
    </xdr:from>
    <xdr:to>
      <xdr:col>21</xdr:col>
      <xdr:colOff>478800</xdr:colOff>
      <xdr:row>33</xdr:row>
      <xdr:rowOff>151920</xdr:rowOff>
    </xdr:to>
    <xdr:graphicFrame>
      <xdr:nvGraphicFramePr>
        <xdr:cNvPr id="0" name="Chart 1"/>
        <xdr:cNvGraphicFramePr/>
      </xdr:nvGraphicFramePr>
      <xdr:xfrm>
        <a:off x="8428680" y="2461320"/>
        <a:ext cx="11028960" cy="3662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502920</xdr:colOff>
      <xdr:row>19</xdr:row>
      <xdr:rowOff>102960</xdr:rowOff>
    </xdr:from>
    <xdr:to>
      <xdr:col>13</xdr:col>
      <xdr:colOff>197640</xdr:colOff>
      <xdr:row>36</xdr:row>
      <xdr:rowOff>98640</xdr:rowOff>
    </xdr:to>
    <xdr:graphicFrame>
      <xdr:nvGraphicFramePr>
        <xdr:cNvPr id="1" name="Chart 4"/>
        <xdr:cNvGraphicFramePr/>
      </xdr:nvGraphicFramePr>
      <xdr:xfrm>
        <a:off x="6395760" y="2093760"/>
        <a:ext cx="5166000" cy="2710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C191" headerRowCount="1" totalsRowCount="0" totalsRowShown="0">
  <autoFilter ref="A1:C191">
    <filterColumn colId="2">
      <filters>
        <filter val="0.9"/>
        <filter val="1"/>
        <filter val="1.1"/>
        <filter val="1.2"/>
        <filter val="1.3"/>
        <filter val="1.4"/>
        <filter val="1.5"/>
        <filter val="1.6"/>
        <filter val="1.7"/>
        <filter val="1.8"/>
        <filter val="1.9"/>
        <filter val="2"/>
        <filter val="2.1"/>
        <filter val="2.2"/>
        <filter val="2.3"/>
        <filter val="2.4"/>
        <filter val="2.5"/>
        <filter val="2.6"/>
        <filter val="2.7"/>
        <filter val="2.9"/>
        <filter val="3"/>
        <filter val="3.1"/>
        <filter val="3.3"/>
        <filter val="3.4"/>
        <filter val="3.5"/>
        <filter val="3.8"/>
        <filter val="3.9"/>
        <filter val="4"/>
        <filter val="4.3"/>
        <filter val="4.5"/>
        <filter val="5"/>
        <filter val="5.5"/>
        <filter val="7"/>
      </filters>
    </filterColumn>
  </autoFilter>
  <tableColumns count="3">
    <tableColumn id="1" name="Country"/>
    <tableColumn id="2" name="GDP PC"/>
    <tableColumn id="3" name="Palm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databank.worldbank.org/reports.aspx?source=2&amp;series=NY.GNP.PCAP.PP.CD&amp;country=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2"/>
  <sheetViews>
    <sheetView showFormulas="false" showGridLines="true" showRowColHeaders="true" showZeros="true" rightToLeft="false" tabSelected="false" showOutlineSymbols="true" defaultGridColor="true" view="normal" topLeftCell="A25" colorId="64" zoomScale="70" zoomScaleNormal="70" zoomScalePageLayoutView="100" workbookViewId="0">
      <selection pane="topLeft" activeCell="C31" activeCellId="0" sqref="C31"/>
    </sheetView>
  </sheetViews>
  <sheetFormatPr defaultColWidth="8.55078125" defaultRowHeight="14.2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7.89"/>
    <col collapsed="false" customWidth="true" hidden="false" outlineLevel="0" max="3" min="3" style="0" width="45.22"/>
    <col collapsed="false" customWidth="true" hidden="false" outlineLevel="0" max="4" min="4" style="0" width="12.11"/>
    <col collapsed="false" customWidth="true" hidden="false" outlineLevel="0" max="16" min="5" style="0" width="12.89"/>
  </cols>
  <sheetData>
    <row r="1" customFormat="false" ht="14.25" hidden="false" customHeight="false" outlineLevel="0" collapsed="false">
      <c r="A1" s="0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4.25" hidden="false" customHeight="false" outlineLevel="0" collapsed="false">
      <c r="A2" s="0" t="s">
        <v>16</v>
      </c>
      <c r="B2" s="1" t="s">
        <v>17</v>
      </c>
      <c r="C2" s="2" t="s">
        <v>18</v>
      </c>
      <c r="D2" s="1" t="s">
        <v>19</v>
      </c>
      <c r="E2" s="2" t="s">
        <v>20</v>
      </c>
      <c r="F2" s="2" t="s">
        <v>20</v>
      </c>
      <c r="G2" s="0" t="n">
        <v>1700</v>
      </c>
      <c r="H2" s="0" t="n">
        <v>1920</v>
      </c>
      <c r="I2" s="0" t="n">
        <v>2020</v>
      </c>
      <c r="J2" s="0" t="n">
        <v>2070</v>
      </c>
      <c r="K2" s="0" t="n">
        <v>2110</v>
      </c>
      <c r="L2" s="0" t="n">
        <v>2000</v>
      </c>
      <c r="M2" s="0" t="n">
        <v>2090</v>
      </c>
      <c r="N2" s="0" t="n">
        <v>2100</v>
      </c>
      <c r="O2" s="0" t="n">
        <v>2190</v>
      </c>
      <c r="P2" s="0" t="n">
        <v>2110</v>
      </c>
    </row>
    <row r="3" customFormat="false" ht="14.25" hidden="false" customHeight="false" outlineLevel="0" collapsed="false">
      <c r="A3" s="0" t="s">
        <v>16</v>
      </c>
      <c r="B3" s="1" t="s">
        <v>17</v>
      </c>
      <c r="C3" s="2" t="s">
        <v>21</v>
      </c>
      <c r="D3" s="1" t="s">
        <v>22</v>
      </c>
      <c r="E3" s="0" t="n">
        <v>2550</v>
      </c>
      <c r="F3" s="0" t="n">
        <v>3980</v>
      </c>
      <c r="G3" s="0" t="n">
        <v>10210</v>
      </c>
      <c r="H3" s="0" t="n">
        <v>10450</v>
      </c>
      <c r="I3" s="0" t="n">
        <v>10750</v>
      </c>
      <c r="J3" s="0" t="n">
        <v>11360</v>
      </c>
      <c r="K3" s="0" t="n">
        <v>11800</v>
      </c>
      <c r="L3" s="0" t="n">
        <v>12280</v>
      </c>
      <c r="M3" s="0" t="n">
        <v>12800</v>
      </c>
      <c r="N3" s="0" t="n">
        <v>13530</v>
      </c>
      <c r="O3" s="0" t="n">
        <v>14040</v>
      </c>
      <c r="P3" s="0" t="n">
        <v>13580</v>
      </c>
    </row>
    <row r="4" customFormat="false" ht="14.25" hidden="false" customHeight="false" outlineLevel="0" collapsed="false">
      <c r="A4" s="0" t="s">
        <v>16</v>
      </c>
      <c r="B4" s="1" t="s">
        <v>17</v>
      </c>
      <c r="C4" s="2" t="s">
        <v>23</v>
      </c>
      <c r="D4" s="1" t="s">
        <v>24</v>
      </c>
      <c r="E4" s="0" t="n">
        <v>6660</v>
      </c>
      <c r="F4" s="0" t="n">
        <v>8030</v>
      </c>
      <c r="G4" s="0" t="n">
        <v>13360</v>
      </c>
      <c r="H4" s="0" t="n">
        <v>13060</v>
      </c>
      <c r="I4" s="0" t="n">
        <v>12770</v>
      </c>
      <c r="J4" s="0" t="n">
        <v>12710</v>
      </c>
      <c r="K4" s="0" t="n">
        <v>11690</v>
      </c>
      <c r="L4" s="0" t="n">
        <v>11510</v>
      </c>
      <c r="M4" s="0" t="n">
        <v>11560</v>
      </c>
      <c r="N4" s="0" t="n">
        <v>11620</v>
      </c>
      <c r="O4" s="0" t="n">
        <v>11700</v>
      </c>
      <c r="P4" s="0" t="n">
        <v>11010</v>
      </c>
    </row>
    <row r="5" customFormat="false" ht="14.25" hidden="false" customHeight="false" outlineLevel="0" collapsed="false">
      <c r="A5" s="0" t="s">
        <v>16</v>
      </c>
      <c r="B5" s="1" t="s">
        <v>17</v>
      </c>
      <c r="C5" s="2" t="s">
        <v>25</v>
      </c>
      <c r="D5" s="1" t="s">
        <v>26</v>
      </c>
      <c r="E5" s="2" t="s">
        <v>20</v>
      </c>
      <c r="F5" s="2" t="s">
        <v>20</v>
      </c>
      <c r="G5" s="2" t="s">
        <v>20</v>
      </c>
      <c r="H5" s="2" t="s">
        <v>20</v>
      </c>
      <c r="I5" s="2" t="s">
        <v>20</v>
      </c>
      <c r="J5" s="2" t="s">
        <v>20</v>
      </c>
      <c r="K5" s="2" t="s">
        <v>20</v>
      </c>
      <c r="L5" s="2" t="s">
        <v>20</v>
      </c>
      <c r="M5" s="2" t="s">
        <v>20</v>
      </c>
      <c r="N5" s="2" t="s">
        <v>20</v>
      </c>
      <c r="O5" s="2" t="s">
        <v>20</v>
      </c>
      <c r="P5" s="2" t="s">
        <v>20</v>
      </c>
    </row>
    <row r="6" customFormat="false" ht="14.25" hidden="false" customHeight="false" outlineLevel="0" collapsed="false">
      <c r="A6" s="0" t="s">
        <v>16</v>
      </c>
      <c r="B6" s="1" t="s">
        <v>17</v>
      </c>
      <c r="C6" s="2" t="s">
        <v>27</v>
      </c>
      <c r="D6" s="1" t="s">
        <v>28</v>
      </c>
      <c r="E6" s="2" t="s">
        <v>20</v>
      </c>
      <c r="F6" s="2" t="s">
        <v>20</v>
      </c>
      <c r="G6" s="2" t="s">
        <v>20</v>
      </c>
      <c r="H6" s="2" t="s">
        <v>20</v>
      </c>
      <c r="I6" s="2" t="s">
        <v>20</v>
      </c>
      <c r="J6" s="2" t="s">
        <v>20</v>
      </c>
      <c r="K6" s="2" t="s">
        <v>20</v>
      </c>
      <c r="L6" s="2" t="s">
        <v>20</v>
      </c>
      <c r="M6" s="2" t="s">
        <v>20</v>
      </c>
      <c r="N6" s="2" t="s">
        <v>20</v>
      </c>
      <c r="O6" s="2" t="s">
        <v>20</v>
      </c>
      <c r="P6" s="2" t="s">
        <v>20</v>
      </c>
    </row>
    <row r="7" customFormat="false" ht="14.25" hidden="false" customHeight="false" outlineLevel="0" collapsed="false">
      <c r="A7" s="0" t="s">
        <v>16</v>
      </c>
      <c r="B7" s="1" t="s">
        <v>17</v>
      </c>
      <c r="C7" s="2" t="s">
        <v>29</v>
      </c>
      <c r="D7" s="1" t="s">
        <v>30</v>
      </c>
      <c r="E7" s="0" t="n">
        <v>2990</v>
      </c>
      <c r="F7" s="0" t="n">
        <v>2790</v>
      </c>
      <c r="G7" s="0" t="n">
        <v>6130</v>
      </c>
      <c r="H7" s="0" t="n">
        <v>6810</v>
      </c>
      <c r="I7" s="0" t="n">
        <v>7130</v>
      </c>
      <c r="J7" s="0" t="n">
        <v>7680</v>
      </c>
      <c r="K7" s="0" t="n">
        <v>6960</v>
      </c>
      <c r="L7" s="0" t="n">
        <v>6730</v>
      </c>
      <c r="M7" s="0" t="n">
        <v>6860</v>
      </c>
      <c r="N7" s="0" t="n">
        <v>6550</v>
      </c>
      <c r="O7" s="0" t="n">
        <v>6370</v>
      </c>
      <c r="P7" s="0" t="n">
        <v>6020</v>
      </c>
    </row>
    <row r="8" customFormat="false" ht="14.25" hidden="false" customHeight="false" outlineLevel="0" collapsed="false">
      <c r="A8" s="0" t="s">
        <v>16</v>
      </c>
      <c r="B8" s="1" t="s">
        <v>17</v>
      </c>
      <c r="C8" s="2" t="s">
        <v>31</v>
      </c>
      <c r="D8" s="1" t="s">
        <v>32</v>
      </c>
      <c r="E8" s="0" t="n">
        <v>10480</v>
      </c>
      <c r="F8" s="0" t="n">
        <v>15940</v>
      </c>
      <c r="G8" s="0" t="n">
        <v>19720</v>
      </c>
      <c r="H8" s="0" t="n">
        <v>18950</v>
      </c>
      <c r="I8" s="0" t="n">
        <v>18180</v>
      </c>
      <c r="J8" s="0" t="n">
        <v>18110</v>
      </c>
      <c r="K8" s="0" t="n">
        <v>17720</v>
      </c>
      <c r="L8" s="0" t="n">
        <v>18570</v>
      </c>
      <c r="M8" s="0" t="n">
        <v>18780</v>
      </c>
      <c r="N8" s="0" t="n">
        <v>20490</v>
      </c>
      <c r="O8" s="0" t="n">
        <v>21030</v>
      </c>
      <c r="P8" s="0" t="n">
        <v>18610</v>
      </c>
    </row>
    <row r="9" customFormat="false" ht="14.25" hidden="false" customHeight="false" outlineLevel="0" collapsed="false">
      <c r="A9" s="0" t="s">
        <v>16</v>
      </c>
      <c r="B9" s="1" t="s">
        <v>17</v>
      </c>
      <c r="C9" s="2" t="s">
        <v>33</v>
      </c>
      <c r="D9" s="1" t="s">
        <v>34</v>
      </c>
      <c r="E9" s="0" t="n">
        <v>6880</v>
      </c>
      <c r="F9" s="0" t="n">
        <v>11310</v>
      </c>
      <c r="G9" s="0" t="n">
        <v>18770</v>
      </c>
      <c r="H9" s="0" t="n">
        <v>19150</v>
      </c>
      <c r="I9" s="0" t="n">
        <v>19650</v>
      </c>
      <c r="J9" s="0" t="n">
        <v>19250</v>
      </c>
      <c r="K9" s="0" t="n">
        <v>19700</v>
      </c>
      <c r="L9" s="0" t="n">
        <v>19860</v>
      </c>
      <c r="M9" s="0" t="n">
        <v>23000</v>
      </c>
      <c r="N9" s="0" t="n">
        <v>22470</v>
      </c>
      <c r="O9" s="0" t="n">
        <v>22080</v>
      </c>
      <c r="P9" s="0" t="n">
        <v>20210</v>
      </c>
    </row>
    <row r="10" customFormat="false" ht="14.25" hidden="false" customHeight="false" outlineLevel="0" collapsed="false">
      <c r="A10" s="0" t="s">
        <v>16</v>
      </c>
      <c r="B10" s="1" t="s">
        <v>17</v>
      </c>
      <c r="C10" s="2" t="s">
        <v>35</v>
      </c>
      <c r="D10" s="1" t="s">
        <v>36</v>
      </c>
      <c r="E10" s="0" t="n">
        <v>2670</v>
      </c>
      <c r="F10" s="0" t="n">
        <v>2740</v>
      </c>
      <c r="G10" s="0" t="n">
        <v>8310</v>
      </c>
      <c r="H10" s="0" t="n">
        <v>9740</v>
      </c>
      <c r="I10" s="0" t="n">
        <v>10440</v>
      </c>
      <c r="J10" s="0" t="n">
        <v>10490</v>
      </c>
      <c r="K10" s="0" t="n">
        <v>10370</v>
      </c>
      <c r="L10" s="0" t="n">
        <v>10950</v>
      </c>
      <c r="M10" s="0" t="n">
        <v>12540</v>
      </c>
      <c r="N10" s="0" t="n">
        <v>13250</v>
      </c>
      <c r="O10" s="0" t="n">
        <v>14470</v>
      </c>
      <c r="P10" s="0" t="n">
        <v>13080</v>
      </c>
    </row>
    <row r="11" customFormat="false" ht="14.25" hidden="false" customHeight="false" outlineLevel="0" collapsed="false">
      <c r="A11" s="0" t="s">
        <v>16</v>
      </c>
      <c r="B11" s="1" t="s">
        <v>17</v>
      </c>
      <c r="C11" s="2" t="s">
        <v>37</v>
      </c>
      <c r="D11" s="1" t="s">
        <v>38</v>
      </c>
      <c r="E11" s="0" t="n">
        <v>23070</v>
      </c>
      <c r="F11" s="0" t="n">
        <v>31620</v>
      </c>
      <c r="G11" s="0" t="n">
        <v>31000</v>
      </c>
      <c r="H11" s="0" t="n">
        <v>32030</v>
      </c>
      <c r="I11" s="0" t="n">
        <v>34610</v>
      </c>
      <c r="J11" s="0" t="n">
        <v>35420</v>
      </c>
      <c r="K11" s="0" t="n">
        <v>35740</v>
      </c>
      <c r="L11" s="0" t="n">
        <v>35880</v>
      </c>
      <c r="M11" s="0" t="n">
        <v>36750</v>
      </c>
      <c r="N11" s="2" t="s">
        <v>20</v>
      </c>
      <c r="O11" s="2" t="s">
        <v>20</v>
      </c>
      <c r="P11" s="2" t="s">
        <v>20</v>
      </c>
    </row>
    <row r="12" customFormat="false" ht="14.25" hidden="false" customHeight="false" outlineLevel="0" collapsed="false">
      <c r="A12" s="0" t="s">
        <v>16</v>
      </c>
      <c r="B12" s="1" t="s">
        <v>17</v>
      </c>
      <c r="C12" s="2" t="s">
        <v>39</v>
      </c>
      <c r="D12" s="1" t="s">
        <v>40</v>
      </c>
      <c r="E12" s="0" t="n">
        <v>16720</v>
      </c>
      <c r="F12" s="0" t="n">
        <v>25560</v>
      </c>
      <c r="G12" s="0" t="n">
        <v>40280</v>
      </c>
      <c r="H12" s="0" t="n">
        <v>41520</v>
      </c>
      <c r="I12" s="0" t="n">
        <v>44760</v>
      </c>
      <c r="J12" s="0" t="n">
        <v>45650</v>
      </c>
      <c r="K12" s="0" t="n">
        <v>45340</v>
      </c>
      <c r="L12" s="0" t="n">
        <v>46220</v>
      </c>
      <c r="M12" s="0" t="n">
        <v>47160</v>
      </c>
      <c r="N12" s="0" t="n">
        <v>48660</v>
      </c>
      <c r="O12" s="0" t="n">
        <v>50540</v>
      </c>
      <c r="P12" s="0" t="n">
        <v>51420</v>
      </c>
    </row>
    <row r="13" customFormat="false" ht="14.25" hidden="false" customHeight="false" outlineLevel="0" collapsed="false">
      <c r="A13" s="0" t="s">
        <v>16</v>
      </c>
      <c r="B13" s="1" t="s">
        <v>17</v>
      </c>
      <c r="C13" s="2" t="s">
        <v>41</v>
      </c>
      <c r="D13" s="1" t="s">
        <v>42</v>
      </c>
      <c r="E13" s="0" t="n">
        <v>19510</v>
      </c>
      <c r="F13" s="0" t="n">
        <v>29130</v>
      </c>
      <c r="G13" s="0" t="n">
        <v>44600</v>
      </c>
      <c r="H13" s="0" t="n">
        <v>46500</v>
      </c>
      <c r="I13" s="0" t="n">
        <v>48050</v>
      </c>
      <c r="J13" s="0" t="n">
        <v>48860</v>
      </c>
      <c r="K13" s="0" t="n">
        <v>49370</v>
      </c>
      <c r="L13" s="0" t="n">
        <v>52680</v>
      </c>
      <c r="M13" s="0" t="n">
        <v>53660</v>
      </c>
      <c r="N13" s="0" t="n">
        <v>56530</v>
      </c>
      <c r="O13" s="0" t="n">
        <v>58940</v>
      </c>
      <c r="P13" s="2" t="s">
        <v>20</v>
      </c>
    </row>
    <row r="14" customFormat="false" ht="14.25" hidden="false" customHeight="false" outlineLevel="0" collapsed="false">
      <c r="A14" s="0" t="s">
        <v>16</v>
      </c>
      <c r="B14" s="1" t="s">
        <v>17</v>
      </c>
      <c r="C14" s="2" t="s">
        <v>43</v>
      </c>
      <c r="D14" s="1" t="s">
        <v>44</v>
      </c>
      <c r="E14" s="2" t="s">
        <v>20</v>
      </c>
      <c r="F14" s="0" t="n">
        <v>3220</v>
      </c>
      <c r="G14" s="0" t="n">
        <v>13710</v>
      </c>
      <c r="H14" s="0" t="n">
        <v>14980</v>
      </c>
      <c r="I14" s="0" t="n">
        <v>16230</v>
      </c>
      <c r="J14" s="0" t="n">
        <v>16850</v>
      </c>
      <c r="K14" s="0" t="n">
        <v>14370</v>
      </c>
      <c r="L14" s="0" t="n">
        <v>13430</v>
      </c>
      <c r="M14" s="0" t="n">
        <v>13510</v>
      </c>
      <c r="N14" s="0" t="n">
        <v>13790</v>
      </c>
      <c r="O14" s="0" t="n">
        <v>14410</v>
      </c>
      <c r="P14" s="0" t="n">
        <v>14300</v>
      </c>
    </row>
    <row r="15" customFormat="false" ht="14.25" hidden="false" customHeight="false" outlineLevel="0" collapsed="false">
      <c r="A15" s="0" t="s">
        <v>16</v>
      </c>
      <c r="B15" s="1" t="s">
        <v>17</v>
      </c>
      <c r="C15" s="2" t="s">
        <v>45</v>
      </c>
      <c r="D15" s="1" t="s">
        <v>46</v>
      </c>
      <c r="E15" s="0" t="n">
        <v>20840</v>
      </c>
      <c r="F15" s="0" t="n">
        <v>27550</v>
      </c>
      <c r="G15" s="0" t="n">
        <v>30940</v>
      </c>
      <c r="H15" s="0" t="n">
        <v>31880</v>
      </c>
      <c r="I15" s="0" t="n">
        <v>31770</v>
      </c>
      <c r="J15" s="0" t="n">
        <v>31850</v>
      </c>
      <c r="K15" s="0" t="n">
        <v>32280</v>
      </c>
      <c r="L15" s="0" t="n">
        <v>32900</v>
      </c>
      <c r="M15" s="0" t="n">
        <v>35250</v>
      </c>
      <c r="N15" s="0" t="n">
        <v>35920</v>
      </c>
      <c r="O15" s="0" t="n">
        <v>37350</v>
      </c>
      <c r="P15" s="0" t="n">
        <v>31200</v>
      </c>
    </row>
    <row r="16" customFormat="false" ht="14.25" hidden="false" customHeight="false" outlineLevel="0" collapsed="false">
      <c r="A16" s="0" t="s">
        <v>16</v>
      </c>
      <c r="B16" s="1" t="s">
        <v>17</v>
      </c>
      <c r="C16" s="2" t="s">
        <v>47</v>
      </c>
      <c r="D16" s="1" t="s">
        <v>48</v>
      </c>
      <c r="E16" s="0" t="n">
        <v>28280</v>
      </c>
      <c r="F16" s="0" t="n">
        <v>41140</v>
      </c>
      <c r="G16" s="0" t="n">
        <v>41180</v>
      </c>
      <c r="H16" s="0" t="n">
        <v>49020</v>
      </c>
      <c r="I16" s="0" t="n">
        <v>49600</v>
      </c>
      <c r="J16" s="0" t="n">
        <v>48600</v>
      </c>
      <c r="K16" s="0" t="n">
        <v>43030</v>
      </c>
      <c r="L16" s="0" t="n">
        <v>42280</v>
      </c>
      <c r="M16" s="0" t="n">
        <v>45030</v>
      </c>
      <c r="N16" s="0" t="n">
        <v>44700</v>
      </c>
      <c r="O16" s="0" t="n">
        <v>44330</v>
      </c>
      <c r="P16" s="2" t="s">
        <v>20</v>
      </c>
    </row>
    <row r="17" customFormat="false" ht="14.25" hidden="false" customHeight="false" outlineLevel="0" collapsed="false">
      <c r="A17" s="0" t="s">
        <v>16</v>
      </c>
      <c r="B17" s="1" t="s">
        <v>17</v>
      </c>
      <c r="C17" s="2" t="s">
        <v>49</v>
      </c>
      <c r="D17" s="1" t="s">
        <v>50</v>
      </c>
      <c r="E17" s="0" t="n">
        <v>870</v>
      </c>
      <c r="F17" s="0" t="n">
        <v>1370</v>
      </c>
      <c r="G17" s="0" t="n">
        <v>2830</v>
      </c>
      <c r="H17" s="0" t="n">
        <v>3190</v>
      </c>
      <c r="I17" s="0" t="n">
        <v>3400</v>
      </c>
      <c r="J17" s="0" t="n">
        <v>3590</v>
      </c>
      <c r="K17" s="0" t="n">
        <v>3790</v>
      </c>
      <c r="L17" s="0" t="n">
        <v>4070</v>
      </c>
      <c r="M17" s="0" t="n">
        <v>4340</v>
      </c>
      <c r="N17" s="0" t="n">
        <v>4750</v>
      </c>
      <c r="O17" s="0" t="n">
        <v>5190</v>
      </c>
      <c r="P17" s="0" t="n">
        <v>5310</v>
      </c>
    </row>
    <row r="18" customFormat="false" ht="14.25" hidden="false" customHeight="false" outlineLevel="0" collapsed="false">
      <c r="A18" s="0" t="s">
        <v>16</v>
      </c>
      <c r="B18" s="1" t="s">
        <v>17</v>
      </c>
      <c r="C18" s="2" t="s">
        <v>51</v>
      </c>
      <c r="D18" s="1" t="s">
        <v>52</v>
      </c>
      <c r="E18" s="0" t="n">
        <v>9360</v>
      </c>
      <c r="F18" s="0" t="n">
        <v>12310</v>
      </c>
      <c r="G18" s="0" t="n">
        <v>15250</v>
      </c>
      <c r="H18" s="0" t="n">
        <v>14740</v>
      </c>
      <c r="I18" s="0" t="n">
        <v>14700</v>
      </c>
      <c r="J18" s="0" t="n">
        <v>14540</v>
      </c>
      <c r="K18" s="0" t="n">
        <v>14810</v>
      </c>
      <c r="L18" s="0" t="n">
        <v>15220</v>
      </c>
      <c r="M18" s="0" t="n">
        <v>15080</v>
      </c>
      <c r="N18" s="0" t="n">
        <v>15320</v>
      </c>
      <c r="O18" s="0" t="n">
        <v>15740</v>
      </c>
      <c r="P18" s="0" t="n">
        <v>13010</v>
      </c>
    </row>
    <row r="19" customFormat="false" ht="14.25" hidden="false" customHeight="false" outlineLevel="0" collapsed="false">
      <c r="A19" s="0" t="s">
        <v>16</v>
      </c>
      <c r="B19" s="1" t="s">
        <v>17</v>
      </c>
      <c r="C19" s="2" t="s">
        <v>53</v>
      </c>
      <c r="D19" s="1" t="s">
        <v>54</v>
      </c>
      <c r="E19" s="0" t="n">
        <v>5230</v>
      </c>
      <c r="F19" s="0" t="n">
        <v>5780</v>
      </c>
      <c r="G19" s="0" t="n">
        <v>16170</v>
      </c>
      <c r="H19" s="0" t="n">
        <v>17660</v>
      </c>
      <c r="I19" s="0" t="n">
        <v>18260</v>
      </c>
      <c r="J19" s="0" t="n">
        <v>18360</v>
      </c>
      <c r="K19" s="0" t="n">
        <v>17240</v>
      </c>
      <c r="L19" s="0" t="n">
        <v>16900</v>
      </c>
      <c r="M19" s="0" t="n">
        <v>17580</v>
      </c>
      <c r="N19" s="0" t="n">
        <v>18650</v>
      </c>
      <c r="O19" s="0" t="n">
        <v>19520</v>
      </c>
      <c r="P19" s="0" t="n">
        <v>19320</v>
      </c>
    </row>
    <row r="20" customFormat="false" ht="14.25" hidden="false" customHeight="false" outlineLevel="0" collapsed="false">
      <c r="A20" s="0" t="s">
        <v>16</v>
      </c>
      <c r="B20" s="1" t="s">
        <v>17</v>
      </c>
      <c r="C20" s="2" t="s">
        <v>55</v>
      </c>
      <c r="D20" s="1" t="s">
        <v>56</v>
      </c>
      <c r="E20" s="0" t="n">
        <v>18700</v>
      </c>
      <c r="F20" s="0" t="n">
        <v>28510</v>
      </c>
      <c r="G20" s="0" t="n">
        <v>41010</v>
      </c>
      <c r="H20" s="0" t="n">
        <v>43270</v>
      </c>
      <c r="I20" s="0" t="n">
        <v>44750</v>
      </c>
      <c r="J20" s="0" t="n">
        <v>45870</v>
      </c>
      <c r="K20" s="0" t="n">
        <v>46850</v>
      </c>
      <c r="L20" s="0" t="n">
        <v>49060</v>
      </c>
      <c r="M20" s="0" t="n">
        <v>50900</v>
      </c>
      <c r="N20" s="0" t="n">
        <v>53180</v>
      </c>
      <c r="O20" s="0" t="n">
        <v>55370</v>
      </c>
      <c r="P20" s="2" t="s">
        <v>20</v>
      </c>
    </row>
    <row r="21" customFormat="false" ht="14.25" hidden="false" customHeight="false" outlineLevel="0" collapsed="false">
      <c r="A21" s="0" t="s">
        <v>16</v>
      </c>
      <c r="B21" s="1" t="s">
        <v>17</v>
      </c>
      <c r="C21" s="2" t="s">
        <v>57</v>
      </c>
      <c r="D21" s="1" t="s">
        <v>58</v>
      </c>
      <c r="E21" s="0" t="n">
        <v>3270</v>
      </c>
      <c r="F21" s="0" t="n">
        <v>5210</v>
      </c>
      <c r="G21" s="0" t="n">
        <v>7170</v>
      </c>
      <c r="H21" s="0" t="n">
        <v>6700</v>
      </c>
      <c r="I21" s="0" t="n">
        <v>6680</v>
      </c>
      <c r="J21" s="0" t="n">
        <v>6600</v>
      </c>
      <c r="K21" s="0" t="n">
        <v>6840</v>
      </c>
      <c r="L21" s="0" t="n">
        <v>6790</v>
      </c>
      <c r="M21" s="0" t="n">
        <v>6710</v>
      </c>
      <c r="N21" s="0" t="n">
        <v>6730</v>
      </c>
      <c r="O21" s="0" t="n">
        <v>6960</v>
      </c>
      <c r="P21" s="0" t="n">
        <v>5880</v>
      </c>
    </row>
    <row r="22" customFormat="false" ht="14.25" hidden="false" customHeight="false" outlineLevel="0" collapsed="false">
      <c r="A22" s="0" t="s">
        <v>16</v>
      </c>
      <c r="B22" s="1" t="s">
        <v>17</v>
      </c>
      <c r="C22" s="2" t="s">
        <v>59</v>
      </c>
      <c r="D22" s="1" t="s">
        <v>60</v>
      </c>
      <c r="E22" s="0" t="n">
        <v>1230</v>
      </c>
      <c r="F22" s="0" t="n">
        <v>1750</v>
      </c>
      <c r="G22" s="0" t="n">
        <v>2410</v>
      </c>
      <c r="H22" s="0" t="n">
        <v>2480</v>
      </c>
      <c r="I22" s="0" t="n">
        <v>2650</v>
      </c>
      <c r="J22" s="0" t="n">
        <v>2820</v>
      </c>
      <c r="K22" s="0" t="n">
        <v>2860</v>
      </c>
      <c r="L22" s="0" t="n">
        <v>2980</v>
      </c>
      <c r="M22" s="0" t="n">
        <v>3010</v>
      </c>
      <c r="N22" s="0" t="n">
        <v>3200</v>
      </c>
      <c r="O22" s="0" t="n">
        <v>3390</v>
      </c>
      <c r="P22" s="0" t="n">
        <v>3470</v>
      </c>
    </row>
    <row r="23" customFormat="false" ht="14.25" hidden="false" customHeight="false" outlineLevel="0" collapsed="false">
      <c r="A23" s="0" t="s">
        <v>16</v>
      </c>
      <c r="B23" s="1" t="s">
        <v>17</v>
      </c>
      <c r="C23" s="2" t="s">
        <v>61</v>
      </c>
      <c r="D23" s="1" t="s">
        <v>62</v>
      </c>
      <c r="E23" s="2" t="s">
        <v>20</v>
      </c>
      <c r="F23" s="2" t="s">
        <v>20</v>
      </c>
      <c r="G23" s="0" t="n">
        <v>71790</v>
      </c>
      <c r="H23" s="0" t="n">
        <v>70450</v>
      </c>
      <c r="I23" s="0" t="n">
        <v>72180</v>
      </c>
      <c r="J23" s="0" t="n">
        <v>71390</v>
      </c>
      <c r="K23" s="0" t="n">
        <v>74460</v>
      </c>
      <c r="L23" s="0" t="n">
        <v>78530</v>
      </c>
      <c r="M23" s="0" t="n">
        <v>85190</v>
      </c>
      <c r="N23" s="0" t="n">
        <v>86090</v>
      </c>
      <c r="O23" s="0" t="n">
        <v>86450</v>
      </c>
      <c r="P23" s="2" t="s">
        <v>20</v>
      </c>
    </row>
    <row r="24" customFormat="false" ht="14.25" hidden="false" customHeight="false" outlineLevel="0" collapsed="false">
      <c r="A24" s="0" t="s">
        <v>16</v>
      </c>
      <c r="B24" s="1" t="s">
        <v>17</v>
      </c>
      <c r="C24" s="2" t="s">
        <v>63</v>
      </c>
      <c r="D24" s="1" t="s">
        <v>64</v>
      </c>
      <c r="E24" s="0" t="n">
        <v>1460</v>
      </c>
      <c r="F24" s="0" t="n">
        <v>2690</v>
      </c>
      <c r="G24" s="0" t="n">
        <v>6830</v>
      </c>
      <c r="H24" s="0" t="n">
        <v>7280</v>
      </c>
      <c r="I24" s="0" t="n">
        <v>7430</v>
      </c>
      <c r="J24" s="0" t="n">
        <v>8050</v>
      </c>
      <c r="K24" s="0" t="n">
        <v>8820</v>
      </c>
      <c r="L24" s="0" t="n">
        <v>9560</v>
      </c>
      <c r="M24" s="0" t="n">
        <v>10170</v>
      </c>
      <c r="N24" s="0" t="n">
        <v>10580</v>
      </c>
      <c r="O24" s="0" t="n">
        <v>11210</v>
      </c>
      <c r="P24" s="0" t="n">
        <v>10480</v>
      </c>
    </row>
    <row r="25" customFormat="false" ht="14.25" hidden="false" customHeight="false" outlineLevel="0" collapsed="false">
      <c r="A25" s="0" t="s">
        <v>16</v>
      </c>
      <c r="B25" s="1" t="s">
        <v>17</v>
      </c>
      <c r="C25" s="2" t="s">
        <v>65</v>
      </c>
      <c r="D25" s="1" t="s">
        <v>66</v>
      </c>
      <c r="E25" s="0" t="n">
        <v>2250</v>
      </c>
      <c r="F25" s="0" t="n">
        <v>3350</v>
      </c>
      <c r="G25" s="0" t="n">
        <v>5240</v>
      </c>
      <c r="H25" s="0" t="n">
        <v>5570</v>
      </c>
      <c r="I25" s="0" t="n">
        <v>6210</v>
      </c>
      <c r="J25" s="0" t="n">
        <v>6690</v>
      </c>
      <c r="K25" s="0" t="n">
        <v>6890</v>
      </c>
      <c r="L25" s="0" t="n">
        <v>7360</v>
      </c>
      <c r="M25" s="0" t="n">
        <v>8170</v>
      </c>
      <c r="N25" s="0" t="n">
        <v>8650</v>
      </c>
      <c r="O25" s="0" t="n">
        <v>8910</v>
      </c>
      <c r="P25" s="0" t="n">
        <v>8250</v>
      </c>
    </row>
    <row r="26" customFormat="false" ht="14.25" hidden="false" customHeight="false" outlineLevel="0" collapsed="false">
      <c r="A26" s="0" t="s">
        <v>16</v>
      </c>
      <c r="B26" s="1" t="s">
        <v>17</v>
      </c>
      <c r="C26" s="2" t="s">
        <v>67</v>
      </c>
      <c r="D26" s="1" t="s">
        <v>68</v>
      </c>
      <c r="E26" s="2" t="s">
        <v>20</v>
      </c>
      <c r="F26" s="0" t="n">
        <v>5040</v>
      </c>
      <c r="G26" s="0" t="n">
        <v>10060</v>
      </c>
      <c r="H26" s="0" t="n">
        <v>10380</v>
      </c>
      <c r="I26" s="0" t="n">
        <v>11160</v>
      </c>
      <c r="J26" s="0" t="n">
        <v>11530</v>
      </c>
      <c r="K26" s="0" t="n">
        <v>12090</v>
      </c>
      <c r="L26" s="0" t="n">
        <v>13090</v>
      </c>
      <c r="M26" s="0" t="n">
        <v>13640</v>
      </c>
      <c r="N26" s="0" t="n">
        <v>14830</v>
      </c>
      <c r="O26" s="0" t="n">
        <v>15840</v>
      </c>
      <c r="P26" s="0" t="n">
        <v>15660</v>
      </c>
    </row>
    <row r="27" customFormat="false" ht="14.25" hidden="false" customHeight="false" outlineLevel="0" collapsed="false">
      <c r="A27" s="0" t="s">
        <v>16</v>
      </c>
      <c r="B27" s="1" t="s">
        <v>17</v>
      </c>
      <c r="C27" s="2" t="s">
        <v>69</v>
      </c>
      <c r="D27" s="1" t="s">
        <v>70</v>
      </c>
      <c r="E27" s="0" t="n">
        <v>5520</v>
      </c>
      <c r="F27" s="0" t="n">
        <v>8250</v>
      </c>
      <c r="G27" s="0" t="n">
        <v>13940</v>
      </c>
      <c r="H27" s="0" t="n">
        <v>13390</v>
      </c>
      <c r="I27" s="0" t="n">
        <v>14070</v>
      </c>
      <c r="J27" s="0" t="n">
        <v>15830</v>
      </c>
      <c r="K27" s="0" t="n">
        <v>15060</v>
      </c>
      <c r="L27" s="0" t="n">
        <v>15840</v>
      </c>
      <c r="M27" s="0" t="n">
        <v>15900</v>
      </c>
      <c r="N27" s="0" t="n">
        <v>16530</v>
      </c>
      <c r="O27" s="0" t="n">
        <v>17120</v>
      </c>
      <c r="P27" s="0" t="n">
        <v>15570</v>
      </c>
    </row>
    <row r="28" customFormat="false" ht="14.25" hidden="false" customHeight="false" outlineLevel="0" collapsed="false">
      <c r="A28" s="0" t="s">
        <v>16</v>
      </c>
      <c r="B28" s="1" t="s">
        <v>17</v>
      </c>
      <c r="C28" s="2" t="s">
        <v>71</v>
      </c>
      <c r="D28" s="1" t="s">
        <v>72</v>
      </c>
      <c r="E28" s="0" t="n">
        <v>6520</v>
      </c>
      <c r="F28" s="0" t="n">
        <v>8800</v>
      </c>
      <c r="G28" s="0" t="n">
        <v>14650</v>
      </c>
      <c r="H28" s="0" t="n">
        <v>14670</v>
      </c>
      <c r="I28" s="0" t="n">
        <v>15370</v>
      </c>
      <c r="J28" s="0" t="n">
        <v>15430</v>
      </c>
      <c r="K28" s="0" t="n">
        <v>14470</v>
      </c>
      <c r="L28" s="0" t="n">
        <v>13950</v>
      </c>
      <c r="M28" s="0" t="n">
        <v>14250</v>
      </c>
      <c r="N28" s="0" t="n">
        <v>14600</v>
      </c>
      <c r="O28" s="0" t="n">
        <v>14980</v>
      </c>
      <c r="P28" s="0" t="n">
        <v>14550</v>
      </c>
    </row>
    <row r="29" customFormat="false" ht="14.25" hidden="false" customHeight="false" outlineLevel="0" collapsed="false">
      <c r="A29" s="0" t="s">
        <v>16</v>
      </c>
      <c r="B29" s="1" t="s">
        <v>17</v>
      </c>
      <c r="C29" s="2" t="s">
        <v>73</v>
      </c>
      <c r="D29" s="1" t="s">
        <v>74</v>
      </c>
      <c r="E29" s="2" t="s">
        <v>20</v>
      </c>
      <c r="F29" s="2" t="s">
        <v>20</v>
      </c>
      <c r="G29" s="2" t="s">
        <v>20</v>
      </c>
      <c r="H29" s="2" t="s">
        <v>20</v>
      </c>
      <c r="I29" s="2" t="s">
        <v>20</v>
      </c>
      <c r="J29" s="2" t="s">
        <v>20</v>
      </c>
      <c r="K29" s="2" t="s">
        <v>20</v>
      </c>
      <c r="L29" s="2" t="s">
        <v>20</v>
      </c>
      <c r="M29" s="2" t="s">
        <v>20</v>
      </c>
      <c r="N29" s="2" t="s">
        <v>20</v>
      </c>
      <c r="O29" s="2" t="s">
        <v>20</v>
      </c>
      <c r="P29" s="2" t="s">
        <v>20</v>
      </c>
    </row>
    <row r="30" customFormat="false" ht="14.25" hidden="false" customHeight="false" outlineLevel="0" collapsed="false">
      <c r="A30" s="0" t="s">
        <v>16</v>
      </c>
      <c r="B30" s="1" t="s">
        <v>17</v>
      </c>
      <c r="C30" s="2" t="s">
        <v>75</v>
      </c>
      <c r="D30" s="1" t="s">
        <v>76</v>
      </c>
      <c r="E30" s="0" t="n">
        <v>55920</v>
      </c>
      <c r="F30" s="0" t="n">
        <v>66440</v>
      </c>
      <c r="G30" s="0" t="n">
        <v>81680</v>
      </c>
      <c r="H30" s="0" t="n">
        <v>86130</v>
      </c>
      <c r="I30" s="0" t="n">
        <v>82860</v>
      </c>
      <c r="J30" s="0" t="n">
        <v>81300</v>
      </c>
      <c r="K30" s="0" t="n">
        <v>65690</v>
      </c>
      <c r="L30" s="0" t="n">
        <v>60420</v>
      </c>
      <c r="M30" s="0" t="n">
        <v>64620</v>
      </c>
      <c r="N30" s="0" t="n">
        <v>62220</v>
      </c>
      <c r="O30" s="0" t="n">
        <v>66460</v>
      </c>
      <c r="P30" s="2" t="s">
        <v>20</v>
      </c>
    </row>
    <row r="31" customFormat="false" ht="14.25" hidden="false" customHeight="false" outlineLevel="0" collapsed="false">
      <c r="A31" s="0" t="s">
        <v>16</v>
      </c>
      <c r="B31" s="1" t="s">
        <v>17</v>
      </c>
      <c r="C31" s="2" t="s">
        <v>77</v>
      </c>
      <c r="D31" s="1" t="s">
        <v>78</v>
      </c>
      <c r="E31" s="0" t="n">
        <v>6940</v>
      </c>
      <c r="F31" s="0" t="n">
        <v>6270</v>
      </c>
      <c r="G31" s="0" t="n">
        <v>15170</v>
      </c>
      <c r="H31" s="0" t="n">
        <v>16030</v>
      </c>
      <c r="I31" s="0" t="n">
        <v>16220</v>
      </c>
      <c r="J31" s="0" t="n">
        <v>17410</v>
      </c>
      <c r="K31" s="0" t="n">
        <v>17770</v>
      </c>
      <c r="L31" s="0" t="n">
        <v>19400</v>
      </c>
      <c r="M31" s="0" t="n">
        <v>20870</v>
      </c>
      <c r="N31" s="0" t="n">
        <v>22190</v>
      </c>
      <c r="O31" s="0" t="n">
        <v>24180</v>
      </c>
      <c r="P31" s="0" t="n">
        <v>23780</v>
      </c>
    </row>
    <row r="32" customFormat="false" ht="14.25" hidden="false" customHeight="false" outlineLevel="0" collapsed="false">
      <c r="A32" s="0" t="s">
        <v>16</v>
      </c>
      <c r="B32" s="1" t="s">
        <v>17</v>
      </c>
      <c r="C32" s="2" t="s">
        <v>79</v>
      </c>
      <c r="D32" s="1" t="s">
        <v>80</v>
      </c>
      <c r="E32" s="0" t="n">
        <v>590</v>
      </c>
      <c r="F32" s="0" t="n">
        <v>920</v>
      </c>
      <c r="G32" s="0" t="n">
        <v>1520</v>
      </c>
      <c r="H32" s="0" t="n">
        <v>1580</v>
      </c>
      <c r="I32" s="0" t="n">
        <v>1640</v>
      </c>
      <c r="J32" s="0" t="n">
        <v>1620</v>
      </c>
      <c r="K32" s="0" t="n">
        <v>1640</v>
      </c>
      <c r="L32" s="0" t="n">
        <v>1810</v>
      </c>
      <c r="M32" s="0" t="n">
        <v>1970</v>
      </c>
      <c r="N32" s="0" t="n">
        <v>2080</v>
      </c>
      <c r="O32" s="0" t="n">
        <v>2180</v>
      </c>
      <c r="P32" s="0" t="n">
        <v>2190</v>
      </c>
    </row>
    <row r="33" customFormat="false" ht="14.25" hidden="false" customHeight="false" outlineLevel="0" collapsed="false">
      <c r="A33" s="0" t="s">
        <v>16</v>
      </c>
      <c r="B33" s="1" t="s">
        <v>17</v>
      </c>
      <c r="C33" s="2" t="s">
        <v>81</v>
      </c>
      <c r="D33" s="1" t="s">
        <v>82</v>
      </c>
      <c r="E33" s="0" t="n">
        <v>610</v>
      </c>
      <c r="F33" s="0" t="n">
        <v>540</v>
      </c>
      <c r="G33" s="0" t="n">
        <v>680</v>
      </c>
      <c r="H33" s="0" t="n">
        <v>690</v>
      </c>
      <c r="I33" s="0" t="n">
        <v>740</v>
      </c>
      <c r="J33" s="0" t="n">
        <v>780</v>
      </c>
      <c r="K33" s="0" t="n">
        <v>840</v>
      </c>
      <c r="L33" s="0" t="n">
        <v>800</v>
      </c>
      <c r="M33" s="0" t="n">
        <v>770</v>
      </c>
      <c r="N33" s="0" t="n">
        <v>780</v>
      </c>
      <c r="O33" s="0" t="n">
        <v>790</v>
      </c>
      <c r="P33" s="0" t="n">
        <v>780</v>
      </c>
    </row>
    <row r="34" customFormat="false" ht="14.25" hidden="false" customHeight="false" outlineLevel="0" collapsed="false">
      <c r="A34" s="0" t="s">
        <v>16</v>
      </c>
      <c r="B34" s="1" t="s">
        <v>17</v>
      </c>
      <c r="C34" s="2" t="s">
        <v>83</v>
      </c>
      <c r="D34" s="1" t="s">
        <v>84</v>
      </c>
      <c r="E34" s="0" t="n">
        <v>1070</v>
      </c>
      <c r="F34" s="0" t="n">
        <v>2960</v>
      </c>
      <c r="G34" s="0" t="n">
        <v>5730</v>
      </c>
      <c r="H34" s="0" t="n">
        <v>5570</v>
      </c>
      <c r="I34" s="0" t="n">
        <v>5590</v>
      </c>
      <c r="J34" s="0" t="n">
        <v>5460</v>
      </c>
      <c r="K34" s="0" t="n">
        <v>5770</v>
      </c>
      <c r="L34" s="0" t="n">
        <v>6100</v>
      </c>
      <c r="M34" s="0" t="n">
        <v>6410</v>
      </c>
      <c r="N34" s="0" t="n">
        <v>6860</v>
      </c>
      <c r="O34" s="0" t="n">
        <v>7320</v>
      </c>
      <c r="P34" s="0" t="n">
        <v>6230</v>
      </c>
    </row>
    <row r="35" customFormat="false" ht="14.25" hidden="false" customHeight="false" outlineLevel="0" collapsed="false">
      <c r="A35" s="0" t="s">
        <v>16</v>
      </c>
      <c r="B35" s="1" t="s">
        <v>17</v>
      </c>
      <c r="C35" s="2" t="s">
        <v>85</v>
      </c>
      <c r="D35" s="1" t="s">
        <v>86</v>
      </c>
      <c r="E35" s="2" t="s">
        <v>20</v>
      </c>
      <c r="F35" s="0" t="n">
        <v>1040</v>
      </c>
      <c r="G35" s="0" t="n">
        <v>2490</v>
      </c>
      <c r="H35" s="0" t="n">
        <v>2720</v>
      </c>
      <c r="I35" s="0" t="n">
        <v>2920</v>
      </c>
      <c r="J35" s="0" t="n">
        <v>3020</v>
      </c>
      <c r="K35" s="0" t="n">
        <v>3180</v>
      </c>
      <c r="L35" s="0" t="n">
        <v>3450</v>
      </c>
      <c r="M35" s="0" t="n">
        <v>3680</v>
      </c>
      <c r="N35" s="0" t="n">
        <v>3970</v>
      </c>
      <c r="O35" s="0" t="n">
        <v>4310</v>
      </c>
      <c r="P35" s="0" t="n">
        <v>4250</v>
      </c>
    </row>
    <row r="36" customFormat="false" ht="14.25" hidden="false" customHeight="false" outlineLevel="0" collapsed="false">
      <c r="A36" s="0" t="s">
        <v>16</v>
      </c>
      <c r="B36" s="1" t="s">
        <v>17</v>
      </c>
      <c r="C36" s="2" t="s">
        <v>87</v>
      </c>
      <c r="D36" s="1" t="s">
        <v>88</v>
      </c>
      <c r="E36" s="0" t="n">
        <v>1780</v>
      </c>
      <c r="F36" s="0" t="n">
        <v>1830</v>
      </c>
      <c r="G36" s="0" t="n">
        <v>2750</v>
      </c>
      <c r="H36" s="0" t="n">
        <v>2810</v>
      </c>
      <c r="I36" s="0" t="n">
        <v>2950</v>
      </c>
      <c r="J36" s="0" t="n">
        <v>3160</v>
      </c>
      <c r="K36" s="0" t="n">
        <v>3210</v>
      </c>
      <c r="L36" s="0" t="n">
        <v>3350</v>
      </c>
      <c r="M36" s="0" t="n">
        <v>3490</v>
      </c>
      <c r="N36" s="0" t="n">
        <v>3620</v>
      </c>
      <c r="O36" s="0" t="n">
        <v>3720</v>
      </c>
      <c r="P36" s="0" t="n">
        <v>3720</v>
      </c>
    </row>
    <row r="37" customFormat="false" ht="14.25" hidden="false" customHeight="false" outlineLevel="0" collapsed="false">
      <c r="A37" s="0" t="s">
        <v>16</v>
      </c>
      <c r="B37" s="1" t="s">
        <v>17</v>
      </c>
      <c r="C37" s="2" t="s">
        <v>89</v>
      </c>
      <c r="D37" s="1" t="s">
        <v>90</v>
      </c>
      <c r="E37" s="2" t="s">
        <v>20</v>
      </c>
      <c r="F37" s="0" t="n">
        <v>28590</v>
      </c>
      <c r="G37" s="0" t="n">
        <v>40880</v>
      </c>
      <c r="H37" s="0" t="n">
        <v>41540</v>
      </c>
      <c r="I37" s="0" t="n">
        <v>43620</v>
      </c>
      <c r="J37" s="0" t="n">
        <v>45010</v>
      </c>
      <c r="K37" s="0" t="n">
        <v>43990</v>
      </c>
      <c r="L37" s="0" t="n">
        <v>45900</v>
      </c>
      <c r="M37" s="0" t="n">
        <v>47700</v>
      </c>
      <c r="N37" s="0" t="n">
        <v>49390</v>
      </c>
      <c r="O37" s="0" t="n">
        <v>50010</v>
      </c>
      <c r="P37" s="0" t="n">
        <v>47500</v>
      </c>
    </row>
    <row r="38" customFormat="false" ht="14.25" hidden="false" customHeight="false" outlineLevel="0" collapsed="false">
      <c r="A38" s="0" t="s">
        <v>16</v>
      </c>
      <c r="B38" s="1" t="s">
        <v>17</v>
      </c>
      <c r="C38" s="2" t="s">
        <v>91</v>
      </c>
      <c r="D38" s="1" t="s">
        <v>92</v>
      </c>
      <c r="E38" s="2" t="s">
        <v>20</v>
      </c>
      <c r="F38" s="2" t="s">
        <v>20</v>
      </c>
      <c r="G38" s="0" t="n">
        <v>61850</v>
      </c>
      <c r="H38" s="0" t="n">
        <v>42510</v>
      </c>
      <c r="I38" s="0" t="n">
        <v>37500</v>
      </c>
      <c r="J38" s="0" t="n">
        <v>36380</v>
      </c>
      <c r="K38" s="0" t="n">
        <v>38100</v>
      </c>
      <c r="L38" s="0" t="n">
        <v>40050</v>
      </c>
      <c r="M38" s="0" t="n">
        <v>46720</v>
      </c>
      <c r="N38" s="0" t="n">
        <v>51280</v>
      </c>
      <c r="O38" s="0" t="n">
        <v>58100</v>
      </c>
      <c r="P38" s="2" t="s">
        <v>20</v>
      </c>
    </row>
    <row r="39" customFormat="false" ht="14.25" hidden="false" customHeight="false" outlineLevel="0" collapsed="false">
      <c r="A39" s="0" t="s">
        <v>16</v>
      </c>
      <c r="B39" s="1" t="s">
        <v>17</v>
      </c>
      <c r="C39" s="2" t="s">
        <v>93</v>
      </c>
      <c r="D39" s="1" t="s">
        <v>94</v>
      </c>
      <c r="E39" s="0" t="n">
        <v>630</v>
      </c>
      <c r="F39" s="0" t="n">
        <v>660</v>
      </c>
      <c r="G39" s="0" t="n">
        <v>1020</v>
      </c>
      <c r="H39" s="0" t="n">
        <v>1110</v>
      </c>
      <c r="I39" s="0" t="n">
        <v>750</v>
      </c>
      <c r="J39" s="0" t="n">
        <v>730</v>
      </c>
      <c r="K39" s="0" t="n">
        <v>800</v>
      </c>
      <c r="L39" s="0" t="n">
        <v>860</v>
      </c>
      <c r="M39" s="0" t="n">
        <v>960</v>
      </c>
      <c r="N39" s="0" t="n">
        <v>1030</v>
      </c>
      <c r="O39" s="0" t="n">
        <v>1060</v>
      </c>
      <c r="P39" s="0" t="n">
        <v>1040</v>
      </c>
    </row>
    <row r="40" customFormat="false" ht="14.25" hidden="false" customHeight="false" outlineLevel="0" collapsed="false">
      <c r="A40" s="0" t="s">
        <v>16</v>
      </c>
      <c r="B40" s="1" t="s">
        <v>17</v>
      </c>
      <c r="C40" s="2" t="s">
        <v>95</v>
      </c>
      <c r="D40" s="1" t="s">
        <v>96</v>
      </c>
      <c r="E40" s="0" t="n">
        <v>690</v>
      </c>
      <c r="F40" s="0" t="n">
        <v>760</v>
      </c>
      <c r="G40" s="0" t="n">
        <v>1750</v>
      </c>
      <c r="H40" s="0" t="n">
        <v>1690</v>
      </c>
      <c r="I40" s="0" t="n">
        <v>1500</v>
      </c>
      <c r="J40" s="0" t="n">
        <v>1600</v>
      </c>
      <c r="K40" s="0" t="n">
        <v>1760</v>
      </c>
      <c r="L40" s="0" t="n">
        <v>1630</v>
      </c>
      <c r="M40" s="0" t="n">
        <v>1570</v>
      </c>
      <c r="N40" s="0" t="n">
        <v>1590</v>
      </c>
      <c r="O40" s="0" t="n">
        <v>1620</v>
      </c>
      <c r="P40" s="0" t="n">
        <v>1580</v>
      </c>
    </row>
    <row r="41" customFormat="false" ht="14.25" hidden="false" customHeight="false" outlineLevel="0" collapsed="false">
      <c r="A41" s="0" t="s">
        <v>16</v>
      </c>
      <c r="B41" s="1" t="s">
        <v>17</v>
      </c>
      <c r="C41" s="2" t="s">
        <v>97</v>
      </c>
      <c r="D41" s="1" t="s">
        <v>98</v>
      </c>
      <c r="E41" s="2" t="s">
        <v>20</v>
      </c>
      <c r="F41" s="2" t="s">
        <v>20</v>
      </c>
      <c r="G41" s="2" t="s">
        <v>20</v>
      </c>
      <c r="H41" s="2" t="s">
        <v>20</v>
      </c>
      <c r="I41" s="2" t="s">
        <v>20</v>
      </c>
      <c r="J41" s="2" t="s">
        <v>20</v>
      </c>
      <c r="K41" s="2" t="s">
        <v>20</v>
      </c>
      <c r="L41" s="2" t="s">
        <v>20</v>
      </c>
      <c r="M41" s="2" t="s">
        <v>20</v>
      </c>
      <c r="N41" s="2" t="s">
        <v>20</v>
      </c>
      <c r="O41" s="2" t="s">
        <v>20</v>
      </c>
      <c r="P41" s="2" t="s">
        <v>20</v>
      </c>
    </row>
    <row r="42" customFormat="false" ht="14.25" hidden="false" customHeight="false" outlineLevel="0" collapsed="false">
      <c r="A42" s="0" t="s">
        <v>16</v>
      </c>
      <c r="B42" s="1" t="s">
        <v>17</v>
      </c>
      <c r="C42" s="2" t="s">
        <v>99</v>
      </c>
      <c r="D42" s="1" t="s">
        <v>100</v>
      </c>
      <c r="E42" s="0" t="n">
        <v>4270</v>
      </c>
      <c r="F42" s="0" t="n">
        <v>9220</v>
      </c>
      <c r="G42" s="0" t="n">
        <v>19110</v>
      </c>
      <c r="H42" s="0" t="n">
        <v>20490</v>
      </c>
      <c r="I42" s="0" t="n">
        <v>21300</v>
      </c>
      <c r="J42" s="0" t="n">
        <v>21910</v>
      </c>
      <c r="K42" s="0" t="n">
        <v>22010</v>
      </c>
      <c r="L42" s="0" t="n">
        <v>22710</v>
      </c>
      <c r="M42" s="0" t="n">
        <v>23460</v>
      </c>
      <c r="N42" s="0" t="n">
        <v>23620</v>
      </c>
      <c r="O42" s="0" t="n">
        <v>25040</v>
      </c>
      <c r="P42" s="0" t="n">
        <v>23980</v>
      </c>
    </row>
    <row r="43" customFormat="false" ht="14.25" hidden="false" customHeight="false" outlineLevel="0" collapsed="false">
      <c r="A43" s="0" t="s">
        <v>16</v>
      </c>
      <c r="B43" s="1" t="s">
        <v>17</v>
      </c>
      <c r="C43" s="2" t="s">
        <v>101</v>
      </c>
      <c r="D43" s="1" t="s">
        <v>102</v>
      </c>
      <c r="E43" s="0" t="n">
        <v>990</v>
      </c>
      <c r="F43" s="0" t="n">
        <v>2890</v>
      </c>
      <c r="G43" s="0" t="n">
        <v>10200</v>
      </c>
      <c r="H43" s="0" t="n">
        <v>11170</v>
      </c>
      <c r="I43" s="0" t="n">
        <v>11830</v>
      </c>
      <c r="J43" s="0" t="n">
        <v>12570</v>
      </c>
      <c r="K43" s="0" t="n">
        <v>12930</v>
      </c>
      <c r="L43" s="0" t="n">
        <v>13520</v>
      </c>
      <c r="M43" s="0" t="n">
        <v>14330</v>
      </c>
      <c r="N43" s="0" t="n">
        <v>15520</v>
      </c>
      <c r="O43" s="0" t="n">
        <v>16730</v>
      </c>
      <c r="P43" s="0" t="n">
        <v>17200</v>
      </c>
    </row>
    <row r="44" customFormat="false" ht="14.25" hidden="false" customHeight="false" outlineLevel="0" collapsed="false">
      <c r="A44" s="0" t="s">
        <v>16</v>
      </c>
      <c r="B44" s="1" t="s">
        <v>17</v>
      </c>
      <c r="C44" s="2" t="s">
        <v>103</v>
      </c>
      <c r="D44" s="1" t="s">
        <v>104</v>
      </c>
      <c r="E44" s="0" t="n">
        <v>4810</v>
      </c>
      <c r="F44" s="0" t="n">
        <v>6550</v>
      </c>
      <c r="G44" s="0" t="n">
        <v>11110</v>
      </c>
      <c r="H44" s="0" t="n">
        <v>11560</v>
      </c>
      <c r="I44" s="0" t="n">
        <v>12280</v>
      </c>
      <c r="J44" s="0" t="n">
        <v>12910</v>
      </c>
      <c r="K44" s="0" t="n">
        <v>13080</v>
      </c>
      <c r="L44" s="0" t="n">
        <v>13660</v>
      </c>
      <c r="M44" s="0" t="n">
        <v>13910</v>
      </c>
      <c r="N44" s="0" t="n">
        <v>14480</v>
      </c>
      <c r="O44" s="0" t="n">
        <v>15280</v>
      </c>
      <c r="P44" s="0" t="n">
        <v>14280</v>
      </c>
    </row>
    <row r="45" customFormat="false" ht="14.25" hidden="false" customHeight="false" outlineLevel="0" collapsed="false">
      <c r="A45" s="0" t="s">
        <v>16</v>
      </c>
      <c r="B45" s="1" t="s">
        <v>17</v>
      </c>
      <c r="C45" s="2" t="s">
        <v>105</v>
      </c>
      <c r="D45" s="1" t="s">
        <v>106</v>
      </c>
      <c r="E45" s="0" t="n">
        <v>1580</v>
      </c>
      <c r="F45" s="0" t="n">
        <v>1800</v>
      </c>
      <c r="G45" s="0" t="n">
        <v>2340</v>
      </c>
      <c r="H45" s="0" t="n">
        <v>2510</v>
      </c>
      <c r="I45" s="0" t="n">
        <v>2640</v>
      </c>
      <c r="J45" s="0" t="n">
        <v>2720</v>
      </c>
      <c r="K45" s="0" t="n">
        <v>2720</v>
      </c>
      <c r="L45" s="0" t="n">
        <v>2880</v>
      </c>
      <c r="M45" s="0" t="n">
        <v>3050</v>
      </c>
      <c r="N45" s="0" t="n">
        <v>3160</v>
      </c>
      <c r="O45" s="0" t="n">
        <v>3200</v>
      </c>
      <c r="P45" s="0" t="n">
        <v>3330</v>
      </c>
    </row>
    <row r="46" customFormat="false" ht="14.25" hidden="false" customHeight="false" outlineLevel="0" collapsed="false">
      <c r="A46" s="0" t="s">
        <v>16</v>
      </c>
      <c r="B46" s="1" t="s">
        <v>17</v>
      </c>
      <c r="C46" s="2" t="s">
        <v>107</v>
      </c>
      <c r="D46" s="1" t="s">
        <v>108</v>
      </c>
      <c r="E46" s="2" t="s">
        <v>20</v>
      </c>
      <c r="F46" s="0" t="n">
        <v>440</v>
      </c>
      <c r="G46" s="0" t="n">
        <v>640</v>
      </c>
      <c r="H46" s="0" t="n">
        <v>630</v>
      </c>
      <c r="I46" s="0" t="n">
        <v>690</v>
      </c>
      <c r="J46" s="0" t="n">
        <v>780</v>
      </c>
      <c r="K46" s="0" t="n">
        <v>840</v>
      </c>
      <c r="L46" s="0" t="n">
        <v>940</v>
      </c>
      <c r="M46" s="0" t="n">
        <v>1030</v>
      </c>
      <c r="N46" s="0" t="n">
        <v>1080</v>
      </c>
      <c r="O46" s="0" t="n">
        <v>1110</v>
      </c>
      <c r="P46" s="0" t="n">
        <v>1100</v>
      </c>
    </row>
    <row r="47" customFormat="false" ht="14.25" hidden="false" customHeight="false" outlineLevel="0" collapsed="false">
      <c r="A47" s="0" t="s">
        <v>16</v>
      </c>
      <c r="B47" s="1" t="s">
        <v>17</v>
      </c>
      <c r="C47" s="2" t="s">
        <v>109</v>
      </c>
      <c r="D47" s="1" t="s">
        <v>110</v>
      </c>
      <c r="E47" s="0" t="n">
        <v>2940</v>
      </c>
      <c r="F47" s="0" t="n">
        <v>2710</v>
      </c>
      <c r="G47" s="0" t="n">
        <v>4890</v>
      </c>
      <c r="H47" s="0" t="n">
        <v>5990</v>
      </c>
      <c r="I47" s="0" t="n">
        <v>5930</v>
      </c>
      <c r="J47" s="0" t="n">
        <v>6020</v>
      </c>
      <c r="K47" s="0" t="n">
        <v>4610</v>
      </c>
      <c r="L47" s="0" t="n">
        <v>3670</v>
      </c>
      <c r="M47" s="0" t="n">
        <v>3650</v>
      </c>
      <c r="N47" s="0" t="n">
        <v>3430</v>
      </c>
      <c r="O47" s="0" t="n">
        <v>3140</v>
      </c>
      <c r="P47" s="0" t="n">
        <v>3110</v>
      </c>
    </row>
    <row r="48" customFormat="false" ht="14.25" hidden="false" customHeight="false" outlineLevel="0" collapsed="false">
      <c r="A48" s="0" t="s">
        <v>16</v>
      </c>
      <c r="B48" s="1" t="s">
        <v>17</v>
      </c>
      <c r="C48" s="2" t="s">
        <v>111</v>
      </c>
      <c r="D48" s="1" t="s">
        <v>112</v>
      </c>
      <c r="E48" s="0" t="n">
        <v>4810</v>
      </c>
      <c r="F48" s="0" t="n">
        <v>7480</v>
      </c>
      <c r="G48" s="0" t="n">
        <v>13090</v>
      </c>
      <c r="H48" s="0" t="n">
        <v>13870</v>
      </c>
      <c r="I48" s="0" t="n">
        <v>14460</v>
      </c>
      <c r="J48" s="0" t="n">
        <v>15400</v>
      </c>
      <c r="K48" s="0" t="n">
        <v>16360</v>
      </c>
      <c r="L48" s="0" t="n">
        <v>18270</v>
      </c>
      <c r="M48" s="0" t="n">
        <v>19280</v>
      </c>
      <c r="N48" s="0" t="n">
        <v>19870</v>
      </c>
      <c r="O48" s="0" t="n">
        <v>20520</v>
      </c>
      <c r="P48" s="0" t="n">
        <v>19840</v>
      </c>
    </row>
    <row r="49" customFormat="false" ht="14.25" hidden="false" customHeight="false" outlineLevel="0" collapsed="false">
      <c r="A49" s="0" t="s">
        <v>16</v>
      </c>
      <c r="B49" s="1" t="s">
        <v>17</v>
      </c>
      <c r="C49" s="2" t="s">
        <v>113</v>
      </c>
      <c r="D49" s="1" t="s">
        <v>114</v>
      </c>
      <c r="E49" s="0" t="n">
        <v>1750</v>
      </c>
      <c r="F49" s="0" t="n">
        <v>2080</v>
      </c>
      <c r="G49" s="0" t="n">
        <v>2310</v>
      </c>
      <c r="H49" s="0" t="n">
        <v>2540</v>
      </c>
      <c r="I49" s="0" t="n">
        <v>2700</v>
      </c>
      <c r="J49" s="0" t="n">
        <v>3050</v>
      </c>
      <c r="K49" s="0" t="n">
        <v>4550</v>
      </c>
      <c r="L49" s="0" t="n">
        <v>4620</v>
      </c>
      <c r="M49" s="0" t="n">
        <v>4690</v>
      </c>
      <c r="N49" s="0" t="n">
        <v>4960</v>
      </c>
      <c r="O49" s="0" t="n">
        <v>5290</v>
      </c>
      <c r="P49" s="0" t="n">
        <v>5300</v>
      </c>
    </row>
    <row r="50" customFormat="false" ht="14.25" hidden="false" customHeight="false" outlineLevel="0" collapsed="false">
      <c r="A50" s="0" t="s">
        <v>16</v>
      </c>
      <c r="B50" s="1" t="s">
        <v>17</v>
      </c>
      <c r="C50" s="2" t="s">
        <v>115</v>
      </c>
      <c r="D50" s="1" t="s">
        <v>116</v>
      </c>
      <c r="E50" s="2" t="s">
        <v>20</v>
      </c>
      <c r="F50" s="0" t="n">
        <v>10390</v>
      </c>
      <c r="G50" s="0" t="n">
        <v>20130</v>
      </c>
      <c r="H50" s="0" t="n">
        <v>20450</v>
      </c>
      <c r="I50" s="0" t="n">
        <v>21380</v>
      </c>
      <c r="J50" s="0" t="n">
        <v>21600</v>
      </c>
      <c r="K50" s="0" t="n">
        <v>22860</v>
      </c>
      <c r="L50" s="0" t="n">
        <v>24130</v>
      </c>
      <c r="M50" s="0" t="n">
        <v>26410</v>
      </c>
      <c r="N50" s="0" t="n">
        <v>28140</v>
      </c>
      <c r="O50" s="0" t="n">
        <v>29790</v>
      </c>
      <c r="P50" s="0" t="n">
        <v>28630</v>
      </c>
    </row>
    <row r="51" customFormat="false" ht="14.25" hidden="false" customHeight="false" outlineLevel="0" collapsed="false">
      <c r="A51" s="0" t="s">
        <v>16</v>
      </c>
      <c r="B51" s="1" t="s">
        <v>17</v>
      </c>
      <c r="C51" s="2" t="s">
        <v>117</v>
      </c>
      <c r="D51" s="1" t="s">
        <v>118</v>
      </c>
      <c r="E51" s="2" t="s">
        <v>20</v>
      </c>
      <c r="F51" s="2" t="s">
        <v>20</v>
      </c>
      <c r="G51" s="2" t="s">
        <v>20</v>
      </c>
      <c r="H51" s="2" t="s">
        <v>20</v>
      </c>
      <c r="I51" s="2" t="s">
        <v>20</v>
      </c>
      <c r="J51" s="2" t="s">
        <v>20</v>
      </c>
      <c r="K51" s="2" t="s">
        <v>20</v>
      </c>
      <c r="L51" s="2" t="s">
        <v>20</v>
      </c>
      <c r="M51" s="2" t="s">
        <v>20</v>
      </c>
      <c r="N51" s="2" t="s">
        <v>20</v>
      </c>
      <c r="O51" s="2" t="s">
        <v>20</v>
      </c>
      <c r="P51" s="2" t="s">
        <v>20</v>
      </c>
    </row>
    <row r="52" customFormat="false" ht="14.25" hidden="false" customHeight="false" outlineLevel="0" collapsed="false">
      <c r="A52" s="0" t="s">
        <v>16</v>
      </c>
      <c r="B52" s="1" t="s">
        <v>17</v>
      </c>
      <c r="C52" s="2" t="s">
        <v>119</v>
      </c>
      <c r="D52" s="1" t="s">
        <v>120</v>
      </c>
      <c r="E52" s="2" t="s">
        <v>20</v>
      </c>
      <c r="F52" s="2" t="s">
        <v>20</v>
      </c>
      <c r="G52" s="0" t="n">
        <v>27060</v>
      </c>
      <c r="H52" s="0" t="n">
        <v>25800</v>
      </c>
      <c r="I52" s="0" t="n">
        <v>25470</v>
      </c>
      <c r="J52" s="0" t="n">
        <v>25120</v>
      </c>
      <c r="K52" s="0" t="n">
        <v>25070</v>
      </c>
      <c r="L52" s="0" t="n">
        <v>24680</v>
      </c>
      <c r="M52" s="0" t="n">
        <v>25690</v>
      </c>
      <c r="N52" s="0" t="n">
        <v>26520</v>
      </c>
      <c r="O52" s="0" t="n">
        <v>26620</v>
      </c>
      <c r="P52" s="2" t="s">
        <v>20</v>
      </c>
    </row>
    <row r="53" customFormat="false" ht="14.25" hidden="false" customHeight="false" outlineLevel="0" collapsed="false">
      <c r="A53" s="0" t="s">
        <v>16</v>
      </c>
      <c r="B53" s="1" t="s">
        <v>17</v>
      </c>
      <c r="C53" s="2" t="s">
        <v>121</v>
      </c>
      <c r="D53" s="1" t="s">
        <v>122</v>
      </c>
      <c r="E53" s="0" t="n">
        <v>13240</v>
      </c>
      <c r="F53" s="0" t="n">
        <v>19470</v>
      </c>
      <c r="G53" s="0" t="n">
        <v>34190</v>
      </c>
      <c r="H53" s="0" t="n">
        <v>31610</v>
      </c>
      <c r="I53" s="0" t="n">
        <v>30020</v>
      </c>
      <c r="J53" s="0" t="n">
        <v>29280</v>
      </c>
      <c r="K53" s="0" t="n">
        <v>31610</v>
      </c>
      <c r="L53" s="0" t="n">
        <v>34300</v>
      </c>
      <c r="M53" s="0" t="n">
        <v>36810</v>
      </c>
      <c r="N53" s="0" t="n">
        <v>38930</v>
      </c>
      <c r="O53" s="0" t="n">
        <v>39850</v>
      </c>
      <c r="P53" s="0" t="n">
        <v>36840</v>
      </c>
    </row>
    <row r="54" customFormat="false" ht="14.25" hidden="false" customHeight="false" outlineLevel="0" collapsed="false">
      <c r="A54" s="0" t="s">
        <v>16</v>
      </c>
      <c r="B54" s="1" t="s">
        <v>17</v>
      </c>
      <c r="C54" s="2" t="s">
        <v>123</v>
      </c>
      <c r="D54" s="1" t="s">
        <v>124</v>
      </c>
      <c r="E54" s="2" t="s">
        <v>20</v>
      </c>
      <c r="F54" s="0" t="n">
        <v>15930</v>
      </c>
      <c r="G54" s="0" t="n">
        <v>26660</v>
      </c>
      <c r="H54" s="0" t="n">
        <v>27370</v>
      </c>
      <c r="I54" s="0" t="n">
        <v>28860</v>
      </c>
      <c r="J54" s="0" t="n">
        <v>30270</v>
      </c>
      <c r="K54" s="0" t="n">
        <v>31570</v>
      </c>
      <c r="L54" s="0" t="n">
        <v>33660</v>
      </c>
      <c r="M54" s="0" t="n">
        <v>36630</v>
      </c>
      <c r="N54" s="0" t="n">
        <v>38800</v>
      </c>
      <c r="O54" s="0" t="n">
        <v>40360</v>
      </c>
      <c r="P54" s="2" t="s">
        <v>20</v>
      </c>
    </row>
    <row r="55" customFormat="false" ht="14.25" hidden="false" customHeight="false" outlineLevel="0" collapsed="false">
      <c r="A55" s="0" t="s">
        <v>16</v>
      </c>
      <c r="B55" s="1" t="s">
        <v>17</v>
      </c>
      <c r="C55" s="2" t="s">
        <v>125</v>
      </c>
      <c r="D55" s="1" t="s">
        <v>126</v>
      </c>
      <c r="E55" s="0" t="n">
        <v>17580</v>
      </c>
      <c r="F55" s="0" t="n">
        <v>28020</v>
      </c>
      <c r="G55" s="0" t="n">
        <v>45340</v>
      </c>
      <c r="H55" s="0" t="n">
        <v>45820</v>
      </c>
      <c r="I55" s="0" t="n">
        <v>48210</v>
      </c>
      <c r="J55" s="0" t="n">
        <v>49640</v>
      </c>
      <c r="K55" s="0" t="n">
        <v>50550</v>
      </c>
      <c r="L55" s="0" t="n">
        <v>53250</v>
      </c>
      <c r="M55" s="0" t="n">
        <v>56570</v>
      </c>
      <c r="N55" s="0" t="n">
        <v>59060</v>
      </c>
      <c r="O55" s="0" t="n">
        <v>62120</v>
      </c>
      <c r="P55" s="0" t="n">
        <v>62180</v>
      </c>
    </row>
    <row r="56" customFormat="false" ht="14.25" hidden="false" customHeight="false" outlineLevel="0" collapsed="false">
      <c r="A56" s="0" t="s">
        <v>16</v>
      </c>
      <c r="B56" s="1" t="s">
        <v>17</v>
      </c>
      <c r="C56" s="2" t="s">
        <v>127</v>
      </c>
      <c r="D56" s="1" t="s">
        <v>128</v>
      </c>
      <c r="E56" s="2" t="s">
        <v>20</v>
      </c>
      <c r="F56" s="2" t="s">
        <v>20</v>
      </c>
      <c r="G56" s="2" t="s">
        <v>20</v>
      </c>
      <c r="H56" s="2" t="s">
        <v>20</v>
      </c>
      <c r="I56" s="0" t="n">
        <v>4210</v>
      </c>
      <c r="J56" s="0" t="n">
        <v>4490</v>
      </c>
      <c r="K56" s="0" t="n">
        <v>4850</v>
      </c>
      <c r="L56" s="0" t="n">
        <v>4950</v>
      </c>
      <c r="M56" s="0" t="n">
        <v>5100</v>
      </c>
      <c r="N56" s="0" t="n">
        <v>5520</v>
      </c>
      <c r="O56" s="0" t="n">
        <v>5610</v>
      </c>
      <c r="P56" s="0" t="n">
        <v>5620</v>
      </c>
    </row>
    <row r="57" customFormat="false" ht="14.25" hidden="false" customHeight="false" outlineLevel="0" collapsed="false">
      <c r="A57" s="0" t="s">
        <v>16</v>
      </c>
      <c r="B57" s="1" t="s">
        <v>17</v>
      </c>
      <c r="C57" s="2" t="s">
        <v>129</v>
      </c>
      <c r="D57" s="1" t="s">
        <v>130</v>
      </c>
      <c r="E57" s="0" t="n">
        <v>4190</v>
      </c>
      <c r="F57" s="0" t="n">
        <v>5750</v>
      </c>
      <c r="G57" s="0" t="n">
        <v>9980</v>
      </c>
      <c r="H57" s="0" t="n">
        <v>9570</v>
      </c>
      <c r="I57" s="0" t="n">
        <v>9860</v>
      </c>
      <c r="J57" s="0" t="n">
        <v>10560</v>
      </c>
      <c r="K57" s="0" t="n">
        <v>10750</v>
      </c>
      <c r="L57" s="0" t="n">
        <v>11510</v>
      </c>
      <c r="M57" s="0" t="n">
        <v>11340</v>
      </c>
      <c r="N57" s="0" t="n">
        <v>11800</v>
      </c>
      <c r="O57" s="0" t="n">
        <v>12200</v>
      </c>
      <c r="P57" s="0" t="n">
        <v>10740</v>
      </c>
    </row>
    <row r="58" customFormat="false" ht="14.25" hidden="false" customHeight="false" outlineLevel="0" collapsed="false">
      <c r="A58" s="0" t="s">
        <v>16</v>
      </c>
      <c r="B58" s="1" t="s">
        <v>17</v>
      </c>
      <c r="C58" s="2" t="s">
        <v>131</v>
      </c>
      <c r="D58" s="1" t="s">
        <v>132</v>
      </c>
      <c r="E58" s="0" t="n">
        <v>3540</v>
      </c>
      <c r="F58" s="0" t="n">
        <v>6480</v>
      </c>
      <c r="G58" s="0" t="n">
        <v>11410</v>
      </c>
      <c r="H58" s="0" t="n">
        <v>11430</v>
      </c>
      <c r="I58" s="0" t="n">
        <v>11890</v>
      </c>
      <c r="J58" s="0" t="n">
        <v>12820</v>
      </c>
      <c r="K58" s="0" t="n">
        <v>14130</v>
      </c>
      <c r="L58" s="0" t="n">
        <v>15420</v>
      </c>
      <c r="M58" s="0" t="n">
        <v>15940</v>
      </c>
      <c r="N58" s="0" t="n">
        <v>17350</v>
      </c>
      <c r="O58" s="0" t="n">
        <v>18310</v>
      </c>
      <c r="P58" s="0" t="n">
        <v>17060</v>
      </c>
    </row>
    <row r="59" customFormat="false" ht="14.25" hidden="false" customHeight="false" outlineLevel="0" collapsed="false">
      <c r="A59" s="0" t="s">
        <v>16</v>
      </c>
      <c r="B59" s="1" t="s">
        <v>17</v>
      </c>
      <c r="C59" s="2" t="s">
        <v>133</v>
      </c>
      <c r="D59" s="1" t="s">
        <v>134</v>
      </c>
      <c r="E59" s="0" t="n">
        <v>4450</v>
      </c>
      <c r="F59" s="0" t="n">
        <v>5450</v>
      </c>
      <c r="G59" s="0" t="n">
        <v>9700</v>
      </c>
      <c r="H59" s="0" t="n">
        <v>10160</v>
      </c>
      <c r="I59" s="0" t="n">
        <v>10990</v>
      </c>
      <c r="J59" s="0" t="n">
        <v>11540</v>
      </c>
      <c r="K59" s="0" t="n">
        <v>10870</v>
      </c>
      <c r="L59" s="0" t="n">
        <v>10830</v>
      </c>
      <c r="M59" s="0" t="n">
        <v>11360</v>
      </c>
      <c r="N59" s="0" t="n">
        <v>11530</v>
      </c>
      <c r="O59" s="0" t="n">
        <v>11520</v>
      </c>
      <c r="P59" s="0" t="n">
        <v>10580</v>
      </c>
    </row>
    <row r="60" customFormat="false" ht="14.25" hidden="false" customHeight="false" outlineLevel="0" collapsed="false">
      <c r="A60" s="0" t="s">
        <v>16</v>
      </c>
      <c r="B60" s="1" t="s">
        <v>17</v>
      </c>
      <c r="C60" s="2" t="s">
        <v>135</v>
      </c>
      <c r="D60" s="1" t="s">
        <v>136</v>
      </c>
      <c r="E60" s="0" t="n">
        <v>3620</v>
      </c>
      <c r="F60" s="0" t="n">
        <v>5820</v>
      </c>
      <c r="G60" s="0" t="n">
        <v>9440</v>
      </c>
      <c r="H60" s="0" t="n">
        <v>10840</v>
      </c>
      <c r="I60" s="0" t="n">
        <v>10930</v>
      </c>
      <c r="J60" s="0" t="n">
        <v>10640</v>
      </c>
      <c r="K60" s="0" t="n">
        <v>11310</v>
      </c>
      <c r="L60" s="0" t="n">
        <v>11040</v>
      </c>
      <c r="M60" s="0" t="n">
        <v>10800</v>
      </c>
      <c r="N60" s="0" t="n">
        <v>11350</v>
      </c>
      <c r="O60" s="0" t="n">
        <v>11820</v>
      </c>
      <c r="P60" s="0" t="n">
        <v>12210</v>
      </c>
    </row>
    <row r="61" customFormat="false" ht="14.25" hidden="false" customHeight="false" outlineLevel="0" collapsed="false">
      <c r="A61" s="0" t="s">
        <v>16</v>
      </c>
      <c r="B61" s="1" t="s">
        <v>17</v>
      </c>
      <c r="C61" s="2" t="s">
        <v>137</v>
      </c>
      <c r="D61" s="1" t="s">
        <v>138</v>
      </c>
      <c r="E61" s="0" t="n">
        <v>2840</v>
      </c>
      <c r="F61" s="0" t="n">
        <v>4350</v>
      </c>
      <c r="G61" s="0" t="n">
        <v>6270</v>
      </c>
      <c r="H61" s="0" t="n">
        <v>6270</v>
      </c>
      <c r="I61" s="0" t="n">
        <v>6570</v>
      </c>
      <c r="J61" s="0" t="n">
        <v>6900</v>
      </c>
      <c r="K61" s="0" t="n">
        <v>7240</v>
      </c>
      <c r="L61" s="0" t="n">
        <v>7620</v>
      </c>
      <c r="M61" s="0" t="n">
        <v>7980</v>
      </c>
      <c r="N61" s="0" t="n">
        <v>8320</v>
      </c>
      <c r="O61" s="0" t="n">
        <v>8710</v>
      </c>
      <c r="P61" s="0" t="n">
        <v>8050</v>
      </c>
    </row>
    <row r="62" customFormat="false" ht="14.25" hidden="false" customHeight="false" outlineLevel="0" collapsed="false">
      <c r="A62" s="0" t="s">
        <v>16</v>
      </c>
      <c r="B62" s="1" t="s">
        <v>17</v>
      </c>
      <c r="C62" s="2" t="s">
        <v>139</v>
      </c>
      <c r="D62" s="1" t="s">
        <v>140</v>
      </c>
      <c r="E62" s="0" t="n">
        <v>690</v>
      </c>
      <c r="F62" s="0" t="n">
        <v>5890</v>
      </c>
      <c r="G62" s="0" t="n">
        <v>22180</v>
      </c>
      <c r="H62" s="0" t="n">
        <v>24910</v>
      </c>
      <c r="I62" s="0" t="n">
        <v>23770</v>
      </c>
      <c r="J62" s="0" t="n">
        <v>22910</v>
      </c>
      <c r="K62" s="0" t="n">
        <v>18130</v>
      </c>
      <c r="L62" s="0" t="n">
        <v>15850</v>
      </c>
      <c r="M62" s="0" t="n">
        <v>16600</v>
      </c>
      <c r="N62" s="0" t="n">
        <v>15980</v>
      </c>
      <c r="O62" s="0" t="n">
        <v>14070</v>
      </c>
      <c r="P62" s="0" t="n">
        <v>13350</v>
      </c>
    </row>
    <row r="63" customFormat="false" ht="14.25" hidden="false" customHeight="false" outlineLevel="0" collapsed="false">
      <c r="A63" s="0" t="s">
        <v>16</v>
      </c>
      <c r="B63" s="1" t="s">
        <v>17</v>
      </c>
      <c r="C63" s="2" t="s">
        <v>141</v>
      </c>
      <c r="D63" s="1" t="s">
        <v>142</v>
      </c>
      <c r="E63" s="2" t="s">
        <v>20</v>
      </c>
      <c r="F63" s="0" t="n">
        <v>1530</v>
      </c>
      <c r="G63" s="0" t="n">
        <v>1610</v>
      </c>
      <c r="H63" s="2" t="s">
        <v>20</v>
      </c>
      <c r="I63" s="2" t="s">
        <v>20</v>
      </c>
      <c r="J63" s="2" t="s">
        <v>20</v>
      </c>
      <c r="K63" s="2" t="s">
        <v>20</v>
      </c>
      <c r="L63" s="2" t="s">
        <v>20</v>
      </c>
      <c r="M63" s="2" t="s">
        <v>20</v>
      </c>
      <c r="N63" s="2" t="s">
        <v>20</v>
      </c>
      <c r="O63" s="2" t="s">
        <v>20</v>
      </c>
      <c r="P63" s="2" t="s">
        <v>20</v>
      </c>
    </row>
    <row r="64" customFormat="false" ht="14.25" hidden="false" customHeight="false" outlineLevel="0" collapsed="false">
      <c r="A64" s="0" t="s">
        <v>16</v>
      </c>
      <c r="B64" s="1" t="s">
        <v>17</v>
      </c>
      <c r="C64" s="2" t="s">
        <v>143</v>
      </c>
      <c r="D64" s="1" t="s">
        <v>144</v>
      </c>
      <c r="E64" s="2" t="s">
        <v>20</v>
      </c>
      <c r="F64" s="0" t="n">
        <v>9070</v>
      </c>
      <c r="G64" s="0" t="n">
        <v>23530</v>
      </c>
      <c r="H64" s="0" t="n">
        <v>25110</v>
      </c>
      <c r="I64" s="0" t="n">
        <v>26980</v>
      </c>
      <c r="J64" s="0" t="n">
        <v>28310</v>
      </c>
      <c r="K64" s="0" t="n">
        <v>28750</v>
      </c>
      <c r="L64" s="0" t="n">
        <v>30870</v>
      </c>
      <c r="M64" s="0" t="n">
        <v>33040</v>
      </c>
      <c r="N64" s="0" t="n">
        <v>35620</v>
      </c>
      <c r="O64" s="0" t="n">
        <v>37940</v>
      </c>
      <c r="P64" s="2" t="s">
        <v>20</v>
      </c>
    </row>
    <row r="65" customFormat="false" ht="14.25" hidden="false" customHeight="false" outlineLevel="0" collapsed="false">
      <c r="A65" s="0" t="s">
        <v>16</v>
      </c>
      <c r="B65" s="1" t="s">
        <v>17</v>
      </c>
      <c r="C65" s="2" t="s">
        <v>145</v>
      </c>
      <c r="D65" s="1" t="s">
        <v>146</v>
      </c>
      <c r="E65" s="0" t="n">
        <v>3700</v>
      </c>
      <c r="F65" s="0" t="n">
        <v>4810</v>
      </c>
      <c r="G65" s="0" t="n">
        <v>7570</v>
      </c>
      <c r="H65" s="0" t="n">
        <v>7730</v>
      </c>
      <c r="I65" s="0" t="n">
        <v>8330</v>
      </c>
      <c r="J65" s="0" t="n">
        <v>8420</v>
      </c>
      <c r="K65" s="0" t="n">
        <v>8470</v>
      </c>
      <c r="L65" s="0" t="n">
        <v>8240</v>
      </c>
      <c r="M65" s="0" t="n">
        <v>7840</v>
      </c>
      <c r="N65" s="0" t="n">
        <v>8130</v>
      </c>
      <c r="O65" s="0" t="n">
        <v>8080</v>
      </c>
      <c r="P65" s="0" t="n">
        <v>8380</v>
      </c>
    </row>
    <row r="66" customFormat="false" ht="14.25" hidden="false" customHeight="false" outlineLevel="0" collapsed="false">
      <c r="A66" s="0" t="s">
        <v>16</v>
      </c>
      <c r="B66" s="1" t="s">
        <v>17</v>
      </c>
      <c r="C66" s="2" t="s">
        <v>147</v>
      </c>
      <c r="D66" s="1" t="s">
        <v>148</v>
      </c>
      <c r="E66" s="0" t="n">
        <v>410</v>
      </c>
      <c r="F66" s="0" t="n">
        <v>480</v>
      </c>
      <c r="G66" s="0" t="n">
        <v>1130</v>
      </c>
      <c r="H66" s="0" t="n">
        <v>1210</v>
      </c>
      <c r="I66" s="0" t="n">
        <v>1280</v>
      </c>
      <c r="J66" s="0" t="n">
        <v>1510</v>
      </c>
      <c r="K66" s="0" t="n">
        <v>1650</v>
      </c>
      <c r="L66" s="0" t="n">
        <v>1870</v>
      </c>
      <c r="M66" s="0" t="n">
        <v>2010</v>
      </c>
      <c r="N66" s="0" t="n">
        <v>2140</v>
      </c>
      <c r="O66" s="0" t="n">
        <v>2300</v>
      </c>
      <c r="P66" s="0" t="n">
        <v>2410</v>
      </c>
    </row>
    <row r="67" customFormat="false" ht="14.25" hidden="false" customHeight="false" outlineLevel="0" collapsed="false">
      <c r="A67" s="0" t="s">
        <v>16</v>
      </c>
      <c r="B67" s="1" t="s">
        <v>17</v>
      </c>
      <c r="C67" s="2" t="s">
        <v>149</v>
      </c>
      <c r="D67" s="1" t="s">
        <v>150</v>
      </c>
      <c r="E67" s="2" t="s">
        <v>20</v>
      </c>
      <c r="F67" s="2" t="s">
        <v>20</v>
      </c>
      <c r="G67" s="2" t="s">
        <v>20</v>
      </c>
      <c r="H67" s="2" t="s">
        <v>20</v>
      </c>
      <c r="I67" s="2" t="s">
        <v>20</v>
      </c>
      <c r="J67" s="2" t="s">
        <v>20</v>
      </c>
      <c r="K67" s="2" t="s">
        <v>20</v>
      </c>
      <c r="L67" s="2" t="s">
        <v>20</v>
      </c>
      <c r="M67" s="2" t="s">
        <v>20</v>
      </c>
      <c r="N67" s="2" t="s">
        <v>20</v>
      </c>
      <c r="O67" s="2" t="s">
        <v>20</v>
      </c>
      <c r="P67" s="2" t="s">
        <v>20</v>
      </c>
    </row>
    <row r="68" customFormat="false" ht="14.25" hidden="false" customHeight="false" outlineLevel="0" collapsed="false">
      <c r="A68" s="0" t="s">
        <v>16</v>
      </c>
      <c r="B68" s="1" t="s">
        <v>17</v>
      </c>
      <c r="C68" s="2" t="s">
        <v>151</v>
      </c>
      <c r="D68" s="1" t="s">
        <v>152</v>
      </c>
      <c r="E68" s="0" t="n">
        <v>4050</v>
      </c>
      <c r="F68" s="0" t="n">
        <v>5950</v>
      </c>
      <c r="G68" s="0" t="n">
        <v>8010</v>
      </c>
      <c r="H68" s="0" t="n">
        <v>8510</v>
      </c>
      <c r="I68" s="0" t="n">
        <v>9350</v>
      </c>
      <c r="J68" s="0" t="n">
        <v>10820</v>
      </c>
      <c r="K68" s="0" t="n">
        <v>11660</v>
      </c>
      <c r="L68" s="0" t="n">
        <v>11940</v>
      </c>
      <c r="M68" s="0" t="n">
        <v>12370</v>
      </c>
      <c r="N68" s="0" t="n">
        <v>13260</v>
      </c>
      <c r="O68" s="0" t="n">
        <v>13090</v>
      </c>
      <c r="P68" s="0" t="n">
        <v>10910</v>
      </c>
    </row>
    <row r="69" customFormat="false" ht="14.25" hidden="false" customHeight="false" outlineLevel="0" collapsed="false">
      <c r="A69" s="0" t="s">
        <v>16</v>
      </c>
      <c r="B69" s="1" t="s">
        <v>17</v>
      </c>
      <c r="C69" s="2" t="s">
        <v>153</v>
      </c>
      <c r="D69" s="1" t="s">
        <v>154</v>
      </c>
      <c r="E69" s="0" t="n">
        <v>17790</v>
      </c>
      <c r="F69" s="0" t="n">
        <v>26630</v>
      </c>
      <c r="G69" s="0" t="n">
        <v>41070</v>
      </c>
      <c r="H69" s="0" t="n">
        <v>41060</v>
      </c>
      <c r="I69" s="0" t="n">
        <v>41660</v>
      </c>
      <c r="J69" s="0" t="n">
        <v>42180</v>
      </c>
      <c r="K69" s="0" t="n">
        <v>42920</v>
      </c>
      <c r="L69" s="0" t="n">
        <v>45140</v>
      </c>
      <c r="M69" s="0" t="n">
        <v>47590</v>
      </c>
      <c r="N69" s="0" t="n">
        <v>49950</v>
      </c>
      <c r="O69" s="0" t="n">
        <v>51800</v>
      </c>
      <c r="P69" s="0" t="n">
        <v>51650</v>
      </c>
    </row>
    <row r="70" customFormat="false" ht="14.25" hidden="false" customHeight="false" outlineLevel="0" collapsed="false">
      <c r="A70" s="0" t="s">
        <v>16</v>
      </c>
      <c r="B70" s="1" t="s">
        <v>17</v>
      </c>
      <c r="C70" s="2" t="s">
        <v>155</v>
      </c>
      <c r="D70" s="1" t="s">
        <v>156</v>
      </c>
      <c r="E70" s="0" t="n">
        <v>17670</v>
      </c>
      <c r="F70" s="0" t="n">
        <v>26510</v>
      </c>
      <c r="G70" s="0" t="n">
        <v>38440</v>
      </c>
      <c r="H70" s="0" t="n">
        <v>38500</v>
      </c>
      <c r="I70" s="0" t="n">
        <v>40410</v>
      </c>
      <c r="J70" s="0" t="n">
        <v>41010</v>
      </c>
      <c r="K70" s="0" t="n">
        <v>41730</v>
      </c>
      <c r="L70" s="0" t="n">
        <v>43830</v>
      </c>
      <c r="M70" s="0" t="n">
        <v>45580</v>
      </c>
      <c r="N70" s="0" t="n">
        <v>47600</v>
      </c>
      <c r="O70" s="0" t="n">
        <v>50400</v>
      </c>
      <c r="P70" s="2" t="s">
        <v>20</v>
      </c>
    </row>
    <row r="71" customFormat="false" ht="14.25" hidden="false" customHeight="false" outlineLevel="0" collapsed="false">
      <c r="A71" s="0" t="s">
        <v>16</v>
      </c>
      <c r="B71" s="1" t="s">
        <v>17</v>
      </c>
      <c r="C71" s="2" t="s">
        <v>157</v>
      </c>
      <c r="D71" s="1" t="s">
        <v>158</v>
      </c>
      <c r="E71" s="2" t="s">
        <v>20</v>
      </c>
      <c r="F71" s="2" t="s">
        <v>20</v>
      </c>
      <c r="G71" s="2" t="s">
        <v>20</v>
      </c>
      <c r="H71" s="2" t="s">
        <v>20</v>
      </c>
      <c r="I71" s="2" t="s">
        <v>20</v>
      </c>
      <c r="J71" s="2" t="s">
        <v>20</v>
      </c>
      <c r="K71" s="2" t="s">
        <v>20</v>
      </c>
      <c r="L71" s="2" t="s">
        <v>20</v>
      </c>
      <c r="M71" s="2" t="s">
        <v>20</v>
      </c>
      <c r="N71" s="2" t="s">
        <v>20</v>
      </c>
      <c r="O71" s="2" t="s">
        <v>20</v>
      </c>
      <c r="P71" s="2" t="s">
        <v>20</v>
      </c>
    </row>
    <row r="72" customFormat="false" ht="14.25" hidden="false" customHeight="false" outlineLevel="0" collapsed="false">
      <c r="A72" s="0" t="s">
        <v>16</v>
      </c>
      <c r="B72" s="1" t="s">
        <v>17</v>
      </c>
      <c r="C72" s="2" t="s">
        <v>159</v>
      </c>
      <c r="D72" s="1" t="s">
        <v>160</v>
      </c>
      <c r="E72" s="0" t="n">
        <v>11190</v>
      </c>
      <c r="F72" s="0" t="n">
        <v>11850</v>
      </c>
      <c r="G72" s="0" t="n">
        <v>13490</v>
      </c>
      <c r="H72" s="0" t="n">
        <v>13820</v>
      </c>
      <c r="I72" s="0" t="n">
        <v>13650</v>
      </c>
      <c r="J72" s="0" t="n">
        <v>14570</v>
      </c>
      <c r="K72" s="0" t="n">
        <v>13480</v>
      </c>
      <c r="L72" s="0" t="n">
        <v>13180</v>
      </c>
      <c r="M72" s="0" t="n">
        <v>14060</v>
      </c>
      <c r="N72" s="0" t="n">
        <v>14110</v>
      </c>
      <c r="O72" s="0" t="n">
        <v>14320</v>
      </c>
      <c r="P72" s="0" t="n">
        <v>14130</v>
      </c>
    </row>
    <row r="73" customFormat="false" ht="14.25" hidden="false" customHeight="false" outlineLevel="0" collapsed="false">
      <c r="A73" s="0" t="s">
        <v>16</v>
      </c>
      <c r="B73" s="1" t="s">
        <v>17</v>
      </c>
      <c r="C73" s="2" t="s">
        <v>161</v>
      </c>
      <c r="D73" s="1" t="s">
        <v>162</v>
      </c>
      <c r="E73" s="0" t="n">
        <v>1470</v>
      </c>
      <c r="F73" s="0" t="n">
        <v>1810</v>
      </c>
      <c r="G73" s="0" t="n">
        <v>2170</v>
      </c>
      <c r="H73" s="0" t="n">
        <v>2150</v>
      </c>
      <c r="I73" s="0" t="n">
        <v>2080</v>
      </c>
      <c r="J73" s="0" t="n">
        <v>1980</v>
      </c>
      <c r="K73" s="0" t="n">
        <v>2020</v>
      </c>
      <c r="L73" s="0" t="n">
        <v>2030</v>
      </c>
      <c r="M73" s="0" t="n">
        <v>2030</v>
      </c>
      <c r="N73" s="0" t="n">
        <v>2170</v>
      </c>
      <c r="O73" s="0" t="n">
        <v>2280</v>
      </c>
      <c r="P73" s="0" t="n">
        <v>2240</v>
      </c>
    </row>
    <row r="74" customFormat="false" ht="14.25" hidden="false" customHeight="false" outlineLevel="0" collapsed="false">
      <c r="A74" s="0" t="s">
        <v>16</v>
      </c>
      <c r="B74" s="1" t="s">
        <v>17</v>
      </c>
      <c r="C74" s="2" t="s">
        <v>163</v>
      </c>
      <c r="D74" s="1" t="s">
        <v>164</v>
      </c>
      <c r="E74" s="2" t="s">
        <v>20</v>
      </c>
      <c r="F74" s="0" t="n">
        <v>3140</v>
      </c>
      <c r="G74" s="0" t="n">
        <v>8120</v>
      </c>
      <c r="H74" s="0" t="n">
        <v>9720</v>
      </c>
      <c r="I74" s="0" t="n">
        <v>10420</v>
      </c>
      <c r="J74" s="0" t="n">
        <v>11420</v>
      </c>
      <c r="K74" s="0" t="n">
        <v>11820</v>
      </c>
      <c r="L74" s="0" t="n">
        <v>12260</v>
      </c>
      <c r="M74" s="0" t="n">
        <v>12920</v>
      </c>
      <c r="N74" s="0" t="n">
        <v>14030</v>
      </c>
      <c r="O74" s="0" t="n">
        <v>14930</v>
      </c>
      <c r="P74" s="0" t="n">
        <v>14160</v>
      </c>
    </row>
    <row r="75" customFormat="false" ht="14.25" hidden="false" customHeight="false" outlineLevel="0" collapsed="false">
      <c r="A75" s="0" t="s">
        <v>16</v>
      </c>
      <c r="B75" s="1" t="s">
        <v>17</v>
      </c>
      <c r="C75" s="2" t="s">
        <v>165</v>
      </c>
      <c r="D75" s="1" t="s">
        <v>166</v>
      </c>
      <c r="E75" s="0" t="n">
        <v>19630</v>
      </c>
      <c r="F75" s="0" t="n">
        <v>27060</v>
      </c>
      <c r="G75" s="0" t="n">
        <v>43630</v>
      </c>
      <c r="H75" s="0" t="n">
        <v>44400</v>
      </c>
      <c r="I75" s="0" t="n">
        <v>46040</v>
      </c>
      <c r="J75" s="0" t="n">
        <v>47950</v>
      </c>
      <c r="K75" s="0" t="n">
        <v>48690</v>
      </c>
      <c r="L75" s="0" t="n">
        <v>51830</v>
      </c>
      <c r="M75" s="0" t="n">
        <v>54210</v>
      </c>
      <c r="N75" s="0" t="n">
        <v>56440</v>
      </c>
      <c r="O75" s="0" t="n">
        <v>57410</v>
      </c>
      <c r="P75" s="0" t="n">
        <v>55220</v>
      </c>
    </row>
    <row r="76" customFormat="false" ht="14.25" hidden="false" customHeight="false" outlineLevel="0" collapsed="false">
      <c r="A76" s="0" t="s">
        <v>16</v>
      </c>
      <c r="B76" s="1" t="s">
        <v>17</v>
      </c>
      <c r="C76" s="2" t="s">
        <v>167</v>
      </c>
      <c r="D76" s="1" t="s">
        <v>168</v>
      </c>
      <c r="E76" s="0" t="n">
        <v>1220</v>
      </c>
      <c r="F76" s="0" t="n">
        <v>1740</v>
      </c>
      <c r="G76" s="0" t="n">
        <v>3270</v>
      </c>
      <c r="H76" s="0" t="n">
        <v>3590</v>
      </c>
      <c r="I76" s="0" t="n">
        <v>5150</v>
      </c>
      <c r="J76" s="0" t="n">
        <v>5280</v>
      </c>
      <c r="K76" s="0" t="n">
        <v>5050</v>
      </c>
      <c r="L76" s="0" t="n">
        <v>4800</v>
      </c>
      <c r="M76" s="0" t="n">
        <v>4860</v>
      </c>
      <c r="N76" s="0" t="n">
        <v>5220</v>
      </c>
      <c r="O76" s="0" t="n">
        <v>5480</v>
      </c>
      <c r="P76" s="0" t="n">
        <v>5470</v>
      </c>
    </row>
    <row r="77" customFormat="false" ht="14.25" hidden="false" customHeight="false" outlineLevel="0" collapsed="false">
      <c r="A77" s="0" t="s">
        <v>16</v>
      </c>
      <c r="B77" s="1" t="s">
        <v>17</v>
      </c>
      <c r="C77" s="2" t="s">
        <v>169</v>
      </c>
      <c r="D77" s="1" t="s">
        <v>170</v>
      </c>
      <c r="E77" s="2" t="s">
        <v>20</v>
      </c>
      <c r="F77" s="2" t="s">
        <v>20</v>
      </c>
      <c r="G77" s="2" t="s">
        <v>20</v>
      </c>
      <c r="H77" s="2" t="s">
        <v>20</v>
      </c>
      <c r="I77" s="2" t="s">
        <v>20</v>
      </c>
      <c r="J77" s="2" t="s">
        <v>20</v>
      </c>
      <c r="K77" s="2" t="s">
        <v>20</v>
      </c>
      <c r="L77" s="2" t="s">
        <v>20</v>
      </c>
      <c r="M77" s="2" t="s">
        <v>20</v>
      </c>
      <c r="N77" s="2" t="s">
        <v>20</v>
      </c>
      <c r="O77" s="2" t="s">
        <v>20</v>
      </c>
      <c r="P77" s="2" t="s">
        <v>20</v>
      </c>
    </row>
    <row r="78" customFormat="false" ht="14.25" hidden="false" customHeight="false" outlineLevel="0" collapsed="false">
      <c r="A78" s="0" t="s">
        <v>16</v>
      </c>
      <c r="B78" s="1" t="s">
        <v>17</v>
      </c>
      <c r="C78" s="2" t="s">
        <v>171</v>
      </c>
      <c r="D78" s="1" t="s">
        <v>172</v>
      </c>
      <c r="E78" s="2" t="s">
        <v>20</v>
      </c>
      <c r="F78" s="2" t="s">
        <v>20</v>
      </c>
      <c r="G78" s="0" t="n">
        <v>24960</v>
      </c>
      <c r="H78" s="0" t="n">
        <v>25120</v>
      </c>
      <c r="I78" s="0" t="n">
        <v>25940</v>
      </c>
      <c r="J78" s="0" t="n">
        <v>26810</v>
      </c>
      <c r="K78" s="0" t="n">
        <v>26690</v>
      </c>
      <c r="L78" s="0" t="n">
        <v>27330</v>
      </c>
      <c r="M78" s="0" t="n">
        <v>28490</v>
      </c>
      <c r="N78" s="0" t="n">
        <v>29330</v>
      </c>
      <c r="O78" s="0" t="n">
        <v>30620</v>
      </c>
      <c r="P78" s="2" t="s">
        <v>20</v>
      </c>
    </row>
    <row r="79" customFormat="false" ht="14.25" hidden="false" customHeight="false" outlineLevel="0" collapsed="false">
      <c r="A79" s="0" t="s">
        <v>16</v>
      </c>
      <c r="B79" s="1" t="s">
        <v>17</v>
      </c>
      <c r="C79" s="2" t="s">
        <v>173</v>
      </c>
      <c r="D79" s="1" t="s">
        <v>174</v>
      </c>
      <c r="E79" s="2" t="s">
        <v>20</v>
      </c>
      <c r="F79" s="2" t="s">
        <v>20</v>
      </c>
      <c r="G79" s="2" t="s">
        <v>20</v>
      </c>
      <c r="H79" s="2" t="s">
        <v>20</v>
      </c>
      <c r="I79" s="2" t="s">
        <v>20</v>
      </c>
      <c r="J79" s="2" t="s">
        <v>20</v>
      </c>
      <c r="K79" s="2" t="s">
        <v>20</v>
      </c>
      <c r="L79" s="2" t="s">
        <v>20</v>
      </c>
      <c r="M79" s="2" t="s">
        <v>20</v>
      </c>
      <c r="N79" s="2" t="s">
        <v>20</v>
      </c>
      <c r="O79" s="2" t="s">
        <v>20</v>
      </c>
      <c r="P79" s="2" t="s">
        <v>20</v>
      </c>
    </row>
    <row r="80" customFormat="false" ht="14.25" hidden="false" customHeight="false" outlineLevel="0" collapsed="false">
      <c r="A80" s="0" t="s">
        <v>16</v>
      </c>
      <c r="B80" s="1" t="s">
        <v>17</v>
      </c>
      <c r="C80" s="2" t="s">
        <v>175</v>
      </c>
      <c r="D80" s="1" t="s">
        <v>176</v>
      </c>
      <c r="E80" s="0" t="n">
        <v>4530</v>
      </c>
      <c r="F80" s="0" t="n">
        <v>7150</v>
      </c>
      <c r="G80" s="0" t="n">
        <v>10660</v>
      </c>
      <c r="H80" s="0" t="n">
        <v>10690</v>
      </c>
      <c r="I80" s="0" t="n">
        <v>11470</v>
      </c>
      <c r="J80" s="0" t="n">
        <v>11860</v>
      </c>
      <c r="K80" s="0" t="n">
        <v>12490</v>
      </c>
      <c r="L80" s="0" t="n">
        <v>13650</v>
      </c>
      <c r="M80" s="0" t="n">
        <v>14470</v>
      </c>
      <c r="N80" s="0" t="n">
        <v>15530</v>
      </c>
      <c r="O80" s="0" t="n">
        <v>16030</v>
      </c>
      <c r="P80" s="0" t="n">
        <v>14370</v>
      </c>
    </row>
    <row r="81" customFormat="false" ht="14.25" hidden="false" customHeight="false" outlineLevel="0" collapsed="false">
      <c r="A81" s="0" t="s">
        <v>16</v>
      </c>
      <c r="B81" s="1" t="s">
        <v>17</v>
      </c>
      <c r="C81" s="2" t="s">
        <v>177</v>
      </c>
      <c r="D81" s="1" t="s">
        <v>178</v>
      </c>
      <c r="E81" s="2" t="s">
        <v>20</v>
      </c>
      <c r="F81" s="2" t="s">
        <v>20</v>
      </c>
      <c r="G81" s="2" t="s">
        <v>20</v>
      </c>
      <c r="H81" s="2" t="s">
        <v>20</v>
      </c>
      <c r="I81" s="2" t="s">
        <v>20</v>
      </c>
      <c r="J81" s="2" t="s">
        <v>20</v>
      </c>
      <c r="K81" s="2" t="s">
        <v>20</v>
      </c>
      <c r="L81" s="2" t="s">
        <v>20</v>
      </c>
      <c r="M81" s="2" t="s">
        <v>20</v>
      </c>
      <c r="N81" s="2" t="s">
        <v>20</v>
      </c>
      <c r="O81" s="2" t="s">
        <v>20</v>
      </c>
      <c r="P81" s="2" t="s">
        <v>20</v>
      </c>
    </row>
    <row r="82" customFormat="false" ht="14.25" hidden="false" customHeight="false" outlineLevel="0" collapsed="false">
      <c r="A82" s="0" t="s">
        <v>16</v>
      </c>
      <c r="B82" s="1" t="s">
        <v>17</v>
      </c>
      <c r="C82" s="2" t="s">
        <v>179</v>
      </c>
      <c r="D82" s="1" t="s">
        <v>180</v>
      </c>
      <c r="E82" s="0" t="n">
        <v>3230</v>
      </c>
      <c r="F82" s="0" t="n">
        <v>4700</v>
      </c>
      <c r="G82" s="0" t="n">
        <v>6720</v>
      </c>
      <c r="H82" s="0" t="n">
        <v>7060</v>
      </c>
      <c r="I82" s="0" t="n">
        <v>7270</v>
      </c>
      <c r="J82" s="0" t="n">
        <v>7560</v>
      </c>
      <c r="K82" s="0" t="n">
        <v>8000</v>
      </c>
      <c r="L82" s="0" t="n">
        <v>8040</v>
      </c>
      <c r="M82" s="0" t="n">
        <v>8150</v>
      </c>
      <c r="N82" s="0" t="n">
        <v>8490</v>
      </c>
      <c r="O82" s="0" t="n">
        <v>8850</v>
      </c>
      <c r="P82" s="0" t="n">
        <v>8690</v>
      </c>
    </row>
    <row r="83" customFormat="false" ht="14.25" hidden="false" customHeight="false" outlineLevel="0" collapsed="false">
      <c r="A83" s="0" t="s">
        <v>16</v>
      </c>
      <c r="B83" s="1" t="s">
        <v>17</v>
      </c>
      <c r="C83" s="2" t="s">
        <v>181</v>
      </c>
      <c r="D83" s="1" t="s">
        <v>182</v>
      </c>
      <c r="E83" s="0" t="n">
        <v>850</v>
      </c>
      <c r="F83" s="0" t="n">
        <v>1200</v>
      </c>
      <c r="G83" s="0" t="n">
        <v>1710</v>
      </c>
      <c r="H83" s="0" t="n">
        <v>1770</v>
      </c>
      <c r="I83" s="0" t="n">
        <v>1720</v>
      </c>
      <c r="J83" s="0" t="n">
        <v>1750</v>
      </c>
      <c r="K83" s="0" t="n">
        <v>1790</v>
      </c>
      <c r="L83" s="0" t="n">
        <v>2040</v>
      </c>
      <c r="M83" s="0" t="n">
        <v>2410</v>
      </c>
      <c r="N83" s="0" t="n">
        <v>2470</v>
      </c>
      <c r="O83" s="0" t="n">
        <v>2540</v>
      </c>
      <c r="P83" s="0" t="n">
        <v>2580</v>
      </c>
    </row>
    <row r="84" customFormat="false" ht="14.25" hidden="false" customHeight="false" outlineLevel="0" collapsed="false">
      <c r="A84" s="0" t="s">
        <v>16</v>
      </c>
      <c r="B84" s="1" t="s">
        <v>17</v>
      </c>
      <c r="C84" s="2" t="s">
        <v>183</v>
      </c>
      <c r="D84" s="1" t="s">
        <v>184</v>
      </c>
      <c r="E84" s="0" t="n">
        <v>990</v>
      </c>
      <c r="F84" s="0" t="n">
        <v>1040</v>
      </c>
      <c r="G84" s="0" t="n">
        <v>1450</v>
      </c>
      <c r="H84" s="0" t="n">
        <v>1360</v>
      </c>
      <c r="I84" s="0" t="n">
        <v>1340</v>
      </c>
      <c r="J84" s="0" t="n">
        <v>1430</v>
      </c>
      <c r="K84" s="0" t="n">
        <v>1640</v>
      </c>
      <c r="L84" s="0" t="n">
        <v>1790</v>
      </c>
      <c r="M84" s="0" t="n">
        <v>1930</v>
      </c>
      <c r="N84" s="0" t="n">
        <v>1880</v>
      </c>
      <c r="O84" s="0" t="n">
        <v>2060</v>
      </c>
      <c r="P84" s="0" t="n">
        <v>1980</v>
      </c>
    </row>
    <row r="85" customFormat="false" ht="14.25" hidden="false" customHeight="false" outlineLevel="0" collapsed="false">
      <c r="A85" s="0" t="s">
        <v>16</v>
      </c>
      <c r="B85" s="1" t="s">
        <v>17</v>
      </c>
      <c r="C85" s="2" t="s">
        <v>185</v>
      </c>
      <c r="D85" s="1" t="s">
        <v>186</v>
      </c>
      <c r="E85" s="0" t="n">
        <v>2720</v>
      </c>
      <c r="F85" s="0" t="n">
        <v>5870</v>
      </c>
      <c r="G85" s="0" t="n">
        <v>9960</v>
      </c>
      <c r="H85" s="0" t="n">
        <v>10540</v>
      </c>
      <c r="I85" s="0" t="n">
        <v>11100</v>
      </c>
      <c r="J85" s="0" t="n">
        <v>11020</v>
      </c>
      <c r="K85" s="0" t="n">
        <v>11260</v>
      </c>
      <c r="L85" s="0" t="n">
        <v>11290</v>
      </c>
      <c r="M85" s="0" t="n">
        <v>11980</v>
      </c>
      <c r="N85" s="0" t="n">
        <v>12700</v>
      </c>
      <c r="O85" s="0" t="n">
        <v>13510</v>
      </c>
      <c r="P85" s="0" t="n">
        <v>15370</v>
      </c>
    </row>
    <row r="86" customFormat="false" ht="14.25" hidden="false" customHeight="false" outlineLevel="0" collapsed="false">
      <c r="A86" s="0" t="s">
        <v>16</v>
      </c>
      <c r="B86" s="1" t="s">
        <v>17</v>
      </c>
      <c r="C86" s="2" t="s">
        <v>187</v>
      </c>
      <c r="D86" s="1" t="s">
        <v>188</v>
      </c>
      <c r="E86" s="0" t="n">
        <v>2050</v>
      </c>
      <c r="F86" s="0" t="n">
        <v>2100</v>
      </c>
      <c r="G86" s="0" t="n">
        <v>2810</v>
      </c>
      <c r="H86" s="0" t="n">
        <v>2770</v>
      </c>
      <c r="I86" s="0" t="n">
        <v>2880</v>
      </c>
      <c r="J86" s="0" t="n">
        <v>2910</v>
      </c>
      <c r="K86" s="0" t="n">
        <v>2910</v>
      </c>
      <c r="L86" s="0" t="n">
        <v>3040</v>
      </c>
      <c r="M86" s="0" t="n">
        <v>2990</v>
      </c>
      <c r="N86" s="0" t="n">
        <v>3070</v>
      </c>
      <c r="O86" s="0" t="n">
        <v>3040</v>
      </c>
      <c r="P86" s="0" t="n">
        <v>2930</v>
      </c>
    </row>
    <row r="87" customFormat="false" ht="14.25" hidden="false" customHeight="false" outlineLevel="0" collapsed="false">
      <c r="A87" s="0" t="s">
        <v>16</v>
      </c>
      <c r="B87" s="1" t="s">
        <v>17</v>
      </c>
      <c r="C87" s="2" t="s">
        <v>189</v>
      </c>
      <c r="D87" s="1" t="s">
        <v>190</v>
      </c>
      <c r="E87" s="0" t="n">
        <v>1940</v>
      </c>
      <c r="F87" s="0" t="n">
        <v>2510</v>
      </c>
      <c r="G87" s="0" t="n">
        <v>3720</v>
      </c>
      <c r="H87" s="0" t="n">
        <v>3750</v>
      </c>
      <c r="I87" s="0" t="n">
        <v>3850</v>
      </c>
      <c r="J87" s="0" t="n">
        <v>4090</v>
      </c>
      <c r="K87" s="0" t="n">
        <v>4490</v>
      </c>
      <c r="L87" s="0" t="n">
        <v>4790</v>
      </c>
      <c r="M87" s="0" t="n">
        <v>5220</v>
      </c>
      <c r="N87" s="0" t="n">
        <v>5360</v>
      </c>
      <c r="O87" s="0" t="n">
        <v>5520</v>
      </c>
      <c r="P87" s="0" t="n">
        <v>5050</v>
      </c>
    </row>
    <row r="88" customFormat="false" ht="14.25" hidden="false" customHeight="false" outlineLevel="0" collapsed="false">
      <c r="A88" s="0" t="s">
        <v>16</v>
      </c>
      <c r="B88" s="1" t="s">
        <v>17</v>
      </c>
      <c r="C88" s="2" t="s">
        <v>191</v>
      </c>
      <c r="D88" s="1" t="s">
        <v>192</v>
      </c>
      <c r="E88" s="0" t="n">
        <v>17760</v>
      </c>
      <c r="F88" s="0" t="n">
        <v>28480</v>
      </c>
      <c r="G88" s="0" t="n">
        <v>53710</v>
      </c>
      <c r="H88" s="0" t="n">
        <v>52990</v>
      </c>
      <c r="I88" s="0" t="n">
        <v>54710</v>
      </c>
      <c r="J88" s="0" t="n">
        <v>55910</v>
      </c>
      <c r="K88" s="0" t="n">
        <v>57450</v>
      </c>
      <c r="L88" s="0" t="n">
        <v>58660</v>
      </c>
      <c r="M88" s="0" t="n">
        <v>62450</v>
      </c>
      <c r="N88" s="0" t="n">
        <v>65500</v>
      </c>
      <c r="O88" s="0" t="n">
        <v>65240</v>
      </c>
      <c r="P88" s="0" t="n">
        <v>62510</v>
      </c>
    </row>
    <row r="89" customFormat="false" ht="14.25" hidden="false" customHeight="false" outlineLevel="0" collapsed="false">
      <c r="A89" s="0" t="s">
        <v>16</v>
      </c>
      <c r="B89" s="1" t="s">
        <v>17</v>
      </c>
      <c r="C89" s="2" t="s">
        <v>193</v>
      </c>
      <c r="D89" s="1" t="s">
        <v>194</v>
      </c>
      <c r="E89" s="2" t="s">
        <v>20</v>
      </c>
      <c r="F89" s="0" t="n">
        <v>11170</v>
      </c>
      <c r="G89" s="0" t="n">
        <v>21900</v>
      </c>
      <c r="H89" s="0" t="n">
        <v>22230</v>
      </c>
      <c r="I89" s="0" t="n">
        <v>23810</v>
      </c>
      <c r="J89" s="0" t="n">
        <v>24540</v>
      </c>
      <c r="K89" s="0" t="n">
        <v>25570</v>
      </c>
      <c r="L89" s="0" t="n">
        <v>27200</v>
      </c>
      <c r="M89" s="0" t="n">
        <v>28310</v>
      </c>
      <c r="N89" s="0" t="n">
        <v>30660</v>
      </c>
      <c r="O89" s="0" t="n">
        <v>33070</v>
      </c>
      <c r="P89" s="2" t="s">
        <v>20</v>
      </c>
    </row>
    <row r="90" customFormat="false" ht="14.25" hidden="false" customHeight="false" outlineLevel="0" collapsed="false">
      <c r="A90" s="0" t="s">
        <v>16</v>
      </c>
      <c r="B90" s="1" t="s">
        <v>17</v>
      </c>
      <c r="C90" s="2" t="s">
        <v>195</v>
      </c>
      <c r="D90" s="1" t="s">
        <v>196</v>
      </c>
      <c r="E90" s="2" t="s">
        <v>20</v>
      </c>
      <c r="F90" s="0" t="n">
        <v>28680</v>
      </c>
      <c r="G90" s="0" t="n">
        <v>34550</v>
      </c>
      <c r="H90" s="0" t="n">
        <v>36690</v>
      </c>
      <c r="I90" s="0" t="n">
        <v>42100</v>
      </c>
      <c r="J90" s="0" t="n">
        <v>43500</v>
      </c>
      <c r="K90" s="0" t="n">
        <v>46470</v>
      </c>
      <c r="L90" s="0" t="n">
        <v>50990</v>
      </c>
      <c r="M90" s="0" t="n">
        <v>53920</v>
      </c>
      <c r="N90" s="0" t="n">
        <v>55340</v>
      </c>
      <c r="O90" s="0" t="n">
        <v>59590</v>
      </c>
      <c r="P90" s="2" t="s">
        <v>20</v>
      </c>
    </row>
    <row r="91" customFormat="false" ht="14.25" hidden="false" customHeight="false" outlineLevel="0" collapsed="false">
      <c r="A91" s="0" t="s">
        <v>16</v>
      </c>
      <c r="B91" s="1" t="s">
        <v>17</v>
      </c>
      <c r="C91" s="2" t="s">
        <v>197</v>
      </c>
      <c r="D91" s="1" t="s">
        <v>198</v>
      </c>
      <c r="E91" s="0" t="n">
        <v>1190</v>
      </c>
      <c r="F91" s="0" t="n">
        <v>2070</v>
      </c>
      <c r="G91" s="0" t="n">
        <v>4450</v>
      </c>
      <c r="H91" s="0" t="n">
        <v>4800</v>
      </c>
      <c r="I91" s="0" t="n">
        <v>4990</v>
      </c>
      <c r="J91" s="0" t="n">
        <v>5170</v>
      </c>
      <c r="K91" s="0" t="n">
        <v>5400</v>
      </c>
      <c r="L91" s="0" t="n">
        <v>5720</v>
      </c>
      <c r="M91" s="0" t="n">
        <v>6120</v>
      </c>
      <c r="N91" s="0" t="n">
        <v>6600</v>
      </c>
      <c r="O91" s="0" t="n">
        <v>6930</v>
      </c>
      <c r="P91" s="0" t="n">
        <v>6390</v>
      </c>
    </row>
    <row r="92" customFormat="false" ht="14.25" hidden="false" customHeight="false" outlineLevel="0" collapsed="false">
      <c r="A92" s="0" t="s">
        <v>16</v>
      </c>
      <c r="B92" s="1" t="s">
        <v>17</v>
      </c>
      <c r="C92" s="2" t="s">
        <v>199</v>
      </c>
      <c r="D92" s="1" t="s">
        <v>200</v>
      </c>
      <c r="E92" s="0" t="n">
        <v>2930</v>
      </c>
      <c r="F92" s="0" t="n">
        <v>4430</v>
      </c>
      <c r="G92" s="0" t="n">
        <v>8840</v>
      </c>
      <c r="H92" s="0" t="n">
        <v>9440</v>
      </c>
      <c r="I92" s="0" t="n">
        <v>9770</v>
      </c>
      <c r="J92" s="0" t="n">
        <v>9930</v>
      </c>
      <c r="K92" s="0" t="n">
        <v>9910</v>
      </c>
      <c r="L92" s="0" t="n">
        <v>10160</v>
      </c>
      <c r="M92" s="0" t="n">
        <v>10590</v>
      </c>
      <c r="N92" s="0" t="n">
        <v>11300</v>
      </c>
      <c r="O92" s="0" t="n">
        <v>11940</v>
      </c>
      <c r="P92" s="0" t="n">
        <v>11750</v>
      </c>
    </row>
    <row r="93" customFormat="false" ht="14.25" hidden="false" customHeight="false" outlineLevel="0" collapsed="false">
      <c r="A93" s="0" t="s">
        <v>16</v>
      </c>
      <c r="B93" s="1" t="s">
        <v>17</v>
      </c>
      <c r="C93" s="2" t="s">
        <v>201</v>
      </c>
      <c r="D93" s="1" t="s">
        <v>202</v>
      </c>
      <c r="E93" s="0" t="n">
        <v>7200</v>
      </c>
      <c r="F93" s="0" t="n">
        <v>10320</v>
      </c>
      <c r="G93" s="0" t="n">
        <v>18010</v>
      </c>
      <c r="H93" s="0" t="n">
        <v>16060</v>
      </c>
      <c r="I93" s="0" t="n">
        <v>15380</v>
      </c>
      <c r="J93" s="0" t="n">
        <v>15280</v>
      </c>
      <c r="K93" s="0" t="n">
        <v>13620</v>
      </c>
      <c r="L93" s="0" t="n">
        <v>14050</v>
      </c>
      <c r="M93" s="0" t="n">
        <v>14560</v>
      </c>
      <c r="N93" s="0" t="n">
        <v>13870</v>
      </c>
      <c r="O93" s="0" t="n">
        <v>12920</v>
      </c>
      <c r="P93" s="0" t="n">
        <v>13150</v>
      </c>
    </row>
    <row r="94" customFormat="false" ht="14.25" hidden="false" customHeight="false" outlineLevel="0" collapsed="false">
      <c r="A94" s="0" t="s">
        <v>16</v>
      </c>
      <c r="B94" s="1" t="s">
        <v>17</v>
      </c>
      <c r="C94" s="2" t="s">
        <v>203</v>
      </c>
      <c r="D94" s="1" t="s">
        <v>204</v>
      </c>
      <c r="E94" s="2" t="s">
        <v>20</v>
      </c>
      <c r="F94" s="0" t="n">
        <v>10990</v>
      </c>
      <c r="G94" s="0" t="n">
        <v>13500</v>
      </c>
      <c r="H94" s="0" t="n">
        <v>15240</v>
      </c>
      <c r="I94" s="0" t="n">
        <v>15470</v>
      </c>
      <c r="J94" s="0" t="n">
        <v>13810</v>
      </c>
      <c r="K94" s="0" t="n">
        <v>9680</v>
      </c>
      <c r="L94" s="0" t="n">
        <v>9340</v>
      </c>
      <c r="M94" s="0" t="n">
        <v>10640</v>
      </c>
      <c r="N94" s="0" t="n">
        <v>10510</v>
      </c>
      <c r="O94" s="0" t="n">
        <v>10950</v>
      </c>
      <c r="P94" s="0" t="n">
        <v>9660</v>
      </c>
    </row>
    <row r="95" customFormat="false" ht="14.25" hidden="false" customHeight="false" outlineLevel="0" collapsed="false">
      <c r="A95" s="0" t="s">
        <v>16</v>
      </c>
      <c r="B95" s="1" t="s">
        <v>17</v>
      </c>
      <c r="C95" s="2" t="s">
        <v>205</v>
      </c>
      <c r="D95" s="1" t="s">
        <v>206</v>
      </c>
      <c r="E95" s="0" t="n">
        <v>12750</v>
      </c>
      <c r="F95" s="0" t="n">
        <v>26320</v>
      </c>
      <c r="G95" s="0" t="n">
        <v>36400</v>
      </c>
      <c r="H95" s="0" t="n">
        <v>37280</v>
      </c>
      <c r="I95" s="0" t="n">
        <v>40400</v>
      </c>
      <c r="J95" s="0" t="n">
        <v>43200</v>
      </c>
      <c r="K95" s="0" t="n">
        <v>53070</v>
      </c>
      <c r="L95" s="0" t="n">
        <v>58440</v>
      </c>
      <c r="M95" s="0" t="n">
        <v>62640</v>
      </c>
      <c r="N95" s="0" t="n">
        <v>66860</v>
      </c>
      <c r="O95" s="0" t="n">
        <v>69190</v>
      </c>
      <c r="P95" s="2" t="s">
        <v>20</v>
      </c>
    </row>
    <row r="96" customFormat="false" ht="14.25" hidden="false" customHeight="false" outlineLevel="0" collapsed="false">
      <c r="A96" s="0" t="s">
        <v>16</v>
      </c>
      <c r="B96" s="1" t="s">
        <v>17</v>
      </c>
      <c r="C96" s="2" t="s">
        <v>207</v>
      </c>
      <c r="D96" s="1" t="s">
        <v>208</v>
      </c>
      <c r="E96" s="2" t="s">
        <v>20</v>
      </c>
      <c r="F96" s="2" t="s">
        <v>20</v>
      </c>
      <c r="G96" s="2" t="s">
        <v>20</v>
      </c>
      <c r="H96" s="2" t="s">
        <v>20</v>
      </c>
      <c r="I96" s="2" t="s">
        <v>20</v>
      </c>
      <c r="J96" s="2" t="s">
        <v>20</v>
      </c>
      <c r="K96" s="2" t="s">
        <v>20</v>
      </c>
      <c r="L96" s="2" t="s">
        <v>20</v>
      </c>
      <c r="M96" s="2" t="s">
        <v>20</v>
      </c>
      <c r="N96" s="2" t="s">
        <v>20</v>
      </c>
      <c r="O96" s="2" t="s">
        <v>20</v>
      </c>
      <c r="P96" s="2" t="s">
        <v>20</v>
      </c>
    </row>
    <row r="97" customFormat="false" ht="14.25" hidden="false" customHeight="false" outlineLevel="0" collapsed="false">
      <c r="A97" s="0" t="s">
        <v>16</v>
      </c>
      <c r="B97" s="1" t="s">
        <v>17</v>
      </c>
      <c r="C97" s="2" t="s">
        <v>209</v>
      </c>
      <c r="D97" s="1" t="s">
        <v>210</v>
      </c>
      <c r="E97" s="2" t="s">
        <v>20</v>
      </c>
      <c r="F97" s="0" t="n">
        <v>23440</v>
      </c>
      <c r="G97" s="0" t="n">
        <v>30080</v>
      </c>
      <c r="H97" s="0" t="n">
        <v>30880</v>
      </c>
      <c r="I97" s="0" t="n">
        <v>33460</v>
      </c>
      <c r="J97" s="0" t="n">
        <v>34060</v>
      </c>
      <c r="K97" s="0" t="n">
        <v>35170</v>
      </c>
      <c r="L97" s="0" t="n">
        <v>37450</v>
      </c>
      <c r="M97" s="0" t="n">
        <v>38640</v>
      </c>
      <c r="N97" s="0" t="n">
        <v>40310</v>
      </c>
      <c r="O97" s="0" t="n">
        <v>41750</v>
      </c>
      <c r="P97" s="2" t="s">
        <v>20</v>
      </c>
    </row>
    <row r="98" customFormat="false" ht="14.25" hidden="false" customHeight="false" outlineLevel="0" collapsed="false">
      <c r="A98" s="0" t="s">
        <v>16</v>
      </c>
      <c r="B98" s="1" t="s">
        <v>17</v>
      </c>
      <c r="C98" s="2" t="s">
        <v>211</v>
      </c>
      <c r="D98" s="1" t="s">
        <v>212</v>
      </c>
      <c r="E98" s="0" t="n">
        <v>18360</v>
      </c>
      <c r="F98" s="0" t="n">
        <v>26980</v>
      </c>
      <c r="G98" s="0" t="n">
        <v>36510</v>
      </c>
      <c r="H98" s="0" t="n">
        <v>36440</v>
      </c>
      <c r="I98" s="0" t="n">
        <v>36250</v>
      </c>
      <c r="J98" s="0" t="n">
        <v>36200</v>
      </c>
      <c r="K98" s="0" t="n">
        <v>36640</v>
      </c>
      <c r="L98" s="0" t="n">
        <v>40040</v>
      </c>
      <c r="M98" s="0" t="n">
        <v>41810</v>
      </c>
      <c r="N98" s="0" t="n">
        <v>43590</v>
      </c>
      <c r="O98" s="0" t="n">
        <v>45240</v>
      </c>
      <c r="P98" s="0" t="n">
        <v>42270</v>
      </c>
    </row>
    <row r="99" customFormat="false" ht="14.25" hidden="false" customHeight="false" outlineLevel="0" collapsed="false">
      <c r="A99" s="0" t="s">
        <v>16</v>
      </c>
      <c r="B99" s="1" t="s">
        <v>17</v>
      </c>
      <c r="C99" s="2" t="s">
        <v>213</v>
      </c>
      <c r="D99" s="1" t="s">
        <v>214</v>
      </c>
      <c r="E99" s="0" t="n">
        <v>4300</v>
      </c>
      <c r="F99" s="0" t="n">
        <v>6110</v>
      </c>
      <c r="G99" s="0" t="n">
        <v>7870</v>
      </c>
      <c r="H99" s="0" t="n">
        <v>8080</v>
      </c>
      <c r="I99" s="0" t="n">
        <v>8240</v>
      </c>
      <c r="J99" s="0" t="n">
        <v>8360</v>
      </c>
      <c r="K99" s="0" t="n">
        <v>8520</v>
      </c>
      <c r="L99" s="0" t="n">
        <v>8800</v>
      </c>
      <c r="M99" s="0" t="n">
        <v>9330</v>
      </c>
      <c r="N99" s="0" t="n">
        <v>9590</v>
      </c>
      <c r="O99" s="0" t="n">
        <v>9930</v>
      </c>
      <c r="P99" s="0" t="n">
        <v>8850</v>
      </c>
    </row>
    <row r="100" customFormat="false" ht="14.25" hidden="false" customHeight="false" outlineLevel="0" collapsed="false">
      <c r="A100" s="0" t="s">
        <v>16</v>
      </c>
      <c r="B100" s="1" t="s">
        <v>17</v>
      </c>
      <c r="C100" s="2" t="s">
        <v>215</v>
      </c>
      <c r="D100" s="1" t="s">
        <v>216</v>
      </c>
      <c r="E100" s="0" t="n">
        <v>19720</v>
      </c>
      <c r="F100" s="0" t="n">
        <v>27220</v>
      </c>
      <c r="G100" s="0" t="n">
        <v>36790</v>
      </c>
      <c r="H100" s="0" t="n">
        <v>38190</v>
      </c>
      <c r="I100" s="0" t="n">
        <v>40280</v>
      </c>
      <c r="J100" s="0" t="n">
        <v>40590</v>
      </c>
      <c r="K100" s="0" t="n">
        <v>41940</v>
      </c>
      <c r="L100" s="0" t="n">
        <v>41310</v>
      </c>
      <c r="M100" s="0" t="n">
        <v>42430</v>
      </c>
      <c r="N100" s="0" t="n">
        <v>43220</v>
      </c>
      <c r="O100" s="0" t="n">
        <v>43760</v>
      </c>
      <c r="P100" s="2" t="s">
        <v>20</v>
      </c>
    </row>
    <row r="101" customFormat="false" ht="14.25" hidden="false" customHeight="false" outlineLevel="0" collapsed="false">
      <c r="A101" s="0" t="s">
        <v>16</v>
      </c>
      <c r="B101" s="1" t="s">
        <v>17</v>
      </c>
      <c r="C101" s="2" t="s">
        <v>217</v>
      </c>
      <c r="D101" s="1" t="s">
        <v>218</v>
      </c>
      <c r="E101" s="0" t="n">
        <v>4160</v>
      </c>
      <c r="F101" s="0" t="n">
        <v>6010</v>
      </c>
      <c r="G101" s="0" t="n">
        <v>9320</v>
      </c>
      <c r="H101" s="0" t="n">
        <v>9080</v>
      </c>
      <c r="I101" s="0" t="n">
        <v>9230</v>
      </c>
      <c r="J101" s="0" t="n">
        <v>9080</v>
      </c>
      <c r="K101" s="0" t="n">
        <v>9360</v>
      </c>
      <c r="L101" s="0" t="n">
        <v>9370</v>
      </c>
      <c r="M101" s="0" t="n">
        <v>9950</v>
      </c>
      <c r="N101" s="0" t="n">
        <v>10210</v>
      </c>
      <c r="O101" s="0" t="n">
        <v>10500</v>
      </c>
      <c r="P101" s="0" t="n">
        <v>10320</v>
      </c>
    </row>
    <row r="102" customFormat="false" ht="14.25" hidden="false" customHeight="false" outlineLevel="0" collapsed="false">
      <c r="A102" s="0" t="s">
        <v>16</v>
      </c>
      <c r="B102" s="1" t="s">
        <v>17</v>
      </c>
      <c r="C102" s="2" t="s">
        <v>219</v>
      </c>
      <c r="D102" s="1" t="s">
        <v>220</v>
      </c>
      <c r="E102" s="2" t="s">
        <v>20</v>
      </c>
      <c r="F102" s="0" t="n">
        <v>7250</v>
      </c>
      <c r="G102" s="0" t="n">
        <v>17790</v>
      </c>
      <c r="H102" s="0" t="n">
        <v>19050</v>
      </c>
      <c r="I102" s="0" t="n">
        <v>21900</v>
      </c>
      <c r="J102" s="0" t="n">
        <v>22190</v>
      </c>
      <c r="K102" s="0" t="n">
        <v>21760</v>
      </c>
      <c r="L102" s="0" t="n">
        <v>21490</v>
      </c>
      <c r="M102" s="0" t="n">
        <v>22160</v>
      </c>
      <c r="N102" s="0" t="n">
        <v>22940</v>
      </c>
      <c r="O102" s="0" t="n">
        <v>24040</v>
      </c>
      <c r="P102" s="0" t="n">
        <v>24380</v>
      </c>
    </row>
    <row r="103" customFormat="false" ht="14.25" hidden="false" customHeight="false" outlineLevel="0" collapsed="false">
      <c r="A103" s="0" t="s">
        <v>16</v>
      </c>
      <c r="B103" s="1" t="s">
        <v>17</v>
      </c>
      <c r="C103" s="2" t="s">
        <v>221</v>
      </c>
      <c r="D103" s="1" t="s">
        <v>222</v>
      </c>
      <c r="E103" s="0" t="n">
        <v>1430</v>
      </c>
      <c r="F103" s="0" t="n">
        <v>1600</v>
      </c>
      <c r="G103" s="0" t="n">
        <v>2440</v>
      </c>
      <c r="H103" s="0" t="n">
        <v>2520</v>
      </c>
      <c r="I103" s="0" t="n">
        <v>2740</v>
      </c>
      <c r="J103" s="0" t="n">
        <v>2980</v>
      </c>
      <c r="K103" s="0" t="n">
        <v>3320</v>
      </c>
      <c r="L103" s="0" t="n">
        <v>3580</v>
      </c>
      <c r="M103" s="0" t="n">
        <v>3970</v>
      </c>
      <c r="N103" s="0" t="n">
        <v>4230</v>
      </c>
      <c r="O103" s="0" t="n">
        <v>4420</v>
      </c>
      <c r="P103" s="0" t="n">
        <v>4370</v>
      </c>
    </row>
    <row r="104" customFormat="false" ht="14.25" hidden="false" customHeight="false" outlineLevel="0" collapsed="false">
      <c r="A104" s="0" t="s">
        <v>16</v>
      </c>
      <c r="B104" s="1" t="s">
        <v>17</v>
      </c>
      <c r="C104" s="2" t="s">
        <v>223</v>
      </c>
      <c r="D104" s="1" t="s">
        <v>224</v>
      </c>
      <c r="E104" s="0" t="n">
        <v>1530</v>
      </c>
      <c r="F104" s="0" t="n">
        <v>2570</v>
      </c>
      <c r="G104" s="0" t="n">
        <v>2430</v>
      </c>
      <c r="H104" s="0" t="n">
        <v>2780</v>
      </c>
      <c r="I104" s="0" t="n">
        <v>3160</v>
      </c>
      <c r="J104" s="0" t="n">
        <v>3610</v>
      </c>
      <c r="K104" s="0" t="n">
        <v>4340</v>
      </c>
      <c r="L104" s="0" t="n">
        <v>3930</v>
      </c>
      <c r="M104" s="0" t="n">
        <v>4280</v>
      </c>
      <c r="N104" s="0" t="n">
        <v>4270</v>
      </c>
      <c r="O104" s="0" t="n">
        <v>4640</v>
      </c>
      <c r="P104" s="0" t="n">
        <v>4250</v>
      </c>
    </row>
    <row r="105" customFormat="false" ht="14.25" hidden="false" customHeight="false" outlineLevel="0" collapsed="false">
      <c r="A105" s="0" t="s">
        <v>16</v>
      </c>
      <c r="B105" s="1" t="s">
        <v>17</v>
      </c>
      <c r="C105" s="2" t="s">
        <v>225</v>
      </c>
      <c r="D105" s="1" t="s">
        <v>226</v>
      </c>
      <c r="E105" s="2" t="s">
        <v>20</v>
      </c>
      <c r="F105" s="2" t="s">
        <v>20</v>
      </c>
      <c r="G105" s="2" t="s">
        <v>20</v>
      </c>
      <c r="H105" s="2" t="s">
        <v>20</v>
      </c>
      <c r="I105" s="2" t="s">
        <v>20</v>
      </c>
      <c r="J105" s="2" t="s">
        <v>20</v>
      </c>
      <c r="K105" s="2" t="s">
        <v>20</v>
      </c>
      <c r="L105" s="2" t="s">
        <v>20</v>
      </c>
      <c r="M105" s="2" t="s">
        <v>20</v>
      </c>
      <c r="N105" s="2" t="s">
        <v>20</v>
      </c>
      <c r="O105" s="2" t="s">
        <v>20</v>
      </c>
      <c r="P105" s="2" t="s">
        <v>20</v>
      </c>
    </row>
    <row r="106" customFormat="false" ht="14.25" hidden="false" customHeight="false" outlineLevel="0" collapsed="false">
      <c r="A106" s="0" t="s">
        <v>16</v>
      </c>
      <c r="B106" s="1" t="s">
        <v>17</v>
      </c>
      <c r="C106" s="2" t="s">
        <v>227</v>
      </c>
      <c r="D106" s="1" t="s">
        <v>228</v>
      </c>
      <c r="E106" s="0" t="n">
        <v>8340</v>
      </c>
      <c r="F106" s="0" t="n">
        <v>18420</v>
      </c>
      <c r="G106" s="0" t="n">
        <v>32750</v>
      </c>
      <c r="H106" s="0" t="n">
        <v>33910</v>
      </c>
      <c r="I106" s="0" t="n">
        <v>34460</v>
      </c>
      <c r="J106" s="0" t="n">
        <v>35500</v>
      </c>
      <c r="K106" s="0" t="n">
        <v>38020</v>
      </c>
      <c r="L106" s="0" t="n">
        <v>39720</v>
      </c>
      <c r="M106" s="0" t="n">
        <v>41120</v>
      </c>
      <c r="N106" s="0" t="n">
        <v>42660</v>
      </c>
      <c r="O106" s="0" t="n">
        <v>43100</v>
      </c>
      <c r="P106" s="0" t="n">
        <v>43480</v>
      </c>
    </row>
    <row r="107" customFormat="false" ht="14.25" hidden="false" customHeight="false" outlineLevel="0" collapsed="false">
      <c r="A107" s="0" t="s">
        <v>16</v>
      </c>
      <c r="B107" s="1" t="s">
        <v>17</v>
      </c>
      <c r="C107" s="2" t="s">
        <v>229</v>
      </c>
      <c r="D107" s="1" t="s">
        <v>230</v>
      </c>
      <c r="E107" s="2" t="s">
        <v>20</v>
      </c>
      <c r="F107" s="2" t="s">
        <v>20</v>
      </c>
      <c r="G107" s="0" t="n">
        <v>8410</v>
      </c>
      <c r="H107" s="0" t="n">
        <v>8730</v>
      </c>
      <c r="I107" s="0" t="n">
        <v>9010</v>
      </c>
      <c r="J107" s="0" t="n">
        <v>9230</v>
      </c>
      <c r="K107" s="0" t="n">
        <v>9730</v>
      </c>
      <c r="L107" s="0" t="n">
        <v>10190</v>
      </c>
      <c r="M107" s="0" t="n">
        <v>10740</v>
      </c>
      <c r="N107" s="0" t="n">
        <v>11340</v>
      </c>
      <c r="O107" s="0" t="n">
        <v>12240</v>
      </c>
      <c r="P107" s="0" t="n">
        <v>11650</v>
      </c>
    </row>
    <row r="108" customFormat="false" ht="14.25" hidden="false" customHeight="false" outlineLevel="0" collapsed="false">
      <c r="A108" s="0" t="s">
        <v>16</v>
      </c>
      <c r="B108" s="1" t="s">
        <v>17</v>
      </c>
      <c r="C108" s="2" t="s">
        <v>231</v>
      </c>
      <c r="D108" s="1" t="s">
        <v>232</v>
      </c>
      <c r="E108" s="2" t="s">
        <v>20</v>
      </c>
      <c r="F108" s="0" t="n">
        <v>66160</v>
      </c>
      <c r="G108" s="0" t="n">
        <v>82740</v>
      </c>
      <c r="H108" s="0" t="n">
        <v>87030</v>
      </c>
      <c r="I108" s="0" t="n">
        <v>84000</v>
      </c>
      <c r="J108" s="0" t="n">
        <v>76820</v>
      </c>
      <c r="K108" s="0" t="n">
        <v>52460</v>
      </c>
      <c r="L108" s="0" t="n">
        <v>49900</v>
      </c>
      <c r="M108" s="0" t="n">
        <v>58770</v>
      </c>
      <c r="N108" s="0" t="n">
        <v>58550</v>
      </c>
      <c r="O108" s="0" t="n">
        <v>58930</v>
      </c>
      <c r="P108" s="2" t="s">
        <v>20</v>
      </c>
    </row>
    <row r="109" customFormat="false" ht="14.25" hidden="false" customHeight="false" outlineLevel="0" collapsed="false">
      <c r="A109" s="0" t="s">
        <v>16</v>
      </c>
      <c r="B109" s="1" t="s">
        <v>17</v>
      </c>
      <c r="C109" s="2" t="s">
        <v>233</v>
      </c>
      <c r="D109" s="1" t="s">
        <v>234</v>
      </c>
      <c r="E109" s="2" t="s">
        <v>20</v>
      </c>
      <c r="F109" s="0" t="n">
        <v>1750</v>
      </c>
      <c r="G109" s="0" t="n">
        <v>2950</v>
      </c>
      <c r="H109" s="0" t="n">
        <v>3530</v>
      </c>
      <c r="I109" s="0" t="n">
        <v>3810</v>
      </c>
      <c r="J109" s="0" t="n">
        <v>4100</v>
      </c>
      <c r="K109" s="0" t="n">
        <v>4050</v>
      </c>
      <c r="L109" s="0" t="n">
        <v>4440</v>
      </c>
      <c r="M109" s="0" t="n">
        <v>4800</v>
      </c>
      <c r="N109" s="0" t="n">
        <v>5100</v>
      </c>
      <c r="O109" s="0" t="n">
        <v>5000</v>
      </c>
      <c r="P109" s="0" t="n">
        <v>4750</v>
      </c>
    </row>
    <row r="110" customFormat="false" ht="14.25" hidden="false" customHeight="false" outlineLevel="0" collapsed="false">
      <c r="A110" s="0" t="s">
        <v>16</v>
      </c>
      <c r="B110" s="1" t="s">
        <v>17</v>
      </c>
      <c r="C110" s="2" t="s">
        <v>235</v>
      </c>
      <c r="D110" s="1" t="s">
        <v>236</v>
      </c>
      <c r="E110" s="0" t="n">
        <v>1030</v>
      </c>
      <c r="F110" s="0" t="n">
        <v>1760</v>
      </c>
      <c r="G110" s="0" t="n">
        <v>3870</v>
      </c>
      <c r="H110" s="0" t="n">
        <v>4550</v>
      </c>
      <c r="I110" s="0" t="n">
        <v>5000</v>
      </c>
      <c r="J110" s="0" t="n">
        <v>5610</v>
      </c>
      <c r="K110" s="0" t="n">
        <v>5890</v>
      </c>
      <c r="L110" s="0" t="n">
        <v>6550</v>
      </c>
      <c r="M110" s="0" t="n">
        <v>6870</v>
      </c>
      <c r="N110" s="0" t="n">
        <v>7410</v>
      </c>
      <c r="O110" s="0" t="n">
        <v>7730</v>
      </c>
      <c r="P110" s="0" t="n">
        <v>7790</v>
      </c>
    </row>
    <row r="111" customFormat="false" ht="14.25" hidden="false" customHeight="false" outlineLevel="0" collapsed="false">
      <c r="A111" s="0" t="s">
        <v>16</v>
      </c>
      <c r="B111" s="1" t="s">
        <v>17</v>
      </c>
      <c r="C111" s="2" t="s">
        <v>237</v>
      </c>
      <c r="D111" s="1" t="s">
        <v>238</v>
      </c>
      <c r="E111" s="2" t="s">
        <v>20</v>
      </c>
      <c r="F111" s="0" t="n">
        <v>8020</v>
      </c>
      <c r="G111" s="0" t="n">
        <v>19860</v>
      </c>
      <c r="H111" s="0" t="n">
        <v>21260</v>
      </c>
      <c r="I111" s="0" t="n">
        <v>22760</v>
      </c>
      <c r="J111" s="0" t="n">
        <v>23830</v>
      </c>
      <c r="K111" s="0" t="n">
        <v>24840</v>
      </c>
      <c r="L111" s="0" t="n">
        <v>26670</v>
      </c>
      <c r="M111" s="0" t="n">
        <v>28580</v>
      </c>
      <c r="N111" s="0" t="n">
        <v>30290</v>
      </c>
      <c r="O111" s="0" t="n">
        <v>31590</v>
      </c>
      <c r="P111" s="2" t="s">
        <v>20</v>
      </c>
    </row>
    <row r="112" customFormat="false" ht="14.25" hidden="false" customHeight="false" outlineLevel="0" collapsed="false">
      <c r="A112" s="0" t="s">
        <v>16</v>
      </c>
      <c r="B112" s="1" t="s">
        <v>17</v>
      </c>
      <c r="C112" s="2" t="s">
        <v>239</v>
      </c>
      <c r="D112" s="1" t="s">
        <v>240</v>
      </c>
      <c r="E112" s="0" t="n">
        <v>4680</v>
      </c>
      <c r="F112" s="0" t="n">
        <v>9120</v>
      </c>
      <c r="G112" s="0" t="n">
        <v>14580</v>
      </c>
      <c r="H112" s="0" t="n">
        <v>14750</v>
      </c>
      <c r="I112" s="0" t="n">
        <v>14880</v>
      </c>
      <c r="J112" s="0" t="n">
        <v>14870</v>
      </c>
      <c r="K112" s="0" t="n">
        <v>14910</v>
      </c>
      <c r="L112" s="0" t="n">
        <v>15230</v>
      </c>
      <c r="M112" s="0" t="n">
        <v>15920</v>
      </c>
      <c r="N112" s="0" t="n">
        <v>15870</v>
      </c>
      <c r="O112" s="0" t="n">
        <v>14990</v>
      </c>
      <c r="P112" s="0" t="n">
        <v>11960</v>
      </c>
    </row>
    <row r="113" customFormat="false" ht="14.25" hidden="false" customHeight="false" outlineLevel="0" collapsed="false">
      <c r="A113" s="0" t="s">
        <v>16</v>
      </c>
      <c r="B113" s="1" t="s">
        <v>17</v>
      </c>
      <c r="C113" s="2" t="s">
        <v>241</v>
      </c>
      <c r="D113" s="1" t="s">
        <v>242</v>
      </c>
      <c r="E113" s="0" t="n">
        <v>1300</v>
      </c>
      <c r="F113" s="0" t="n">
        <v>1600</v>
      </c>
      <c r="G113" s="0" t="n">
        <v>2740</v>
      </c>
      <c r="H113" s="0" t="n">
        <v>2700</v>
      </c>
      <c r="I113" s="0" t="n">
        <v>2940</v>
      </c>
      <c r="J113" s="0" t="n">
        <v>3120</v>
      </c>
      <c r="K113" s="0" t="n">
        <v>3440</v>
      </c>
      <c r="L113" s="0" t="n">
        <v>3400</v>
      </c>
      <c r="M113" s="0" t="n">
        <v>3030</v>
      </c>
      <c r="N113" s="0" t="n">
        <v>3050</v>
      </c>
      <c r="O113" s="0" t="n">
        <v>3060</v>
      </c>
      <c r="P113" s="0" t="n">
        <v>2740</v>
      </c>
    </row>
    <row r="114" customFormat="false" ht="14.25" hidden="false" customHeight="false" outlineLevel="0" collapsed="false">
      <c r="A114" s="0" t="s">
        <v>16</v>
      </c>
      <c r="B114" s="1" t="s">
        <v>17</v>
      </c>
      <c r="C114" s="2" t="s">
        <v>243</v>
      </c>
      <c r="D114" s="1" t="s">
        <v>244</v>
      </c>
      <c r="E114" s="2" t="s">
        <v>20</v>
      </c>
      <c r="F114" s="0" t="n">
        <v>880</v>
      </c>
      <c r="G114" s="0" t="n">
        <v>1040</v>
      </c>
      <c r="H114" s="0" t="n">
        <v>1060</v>
      </c>
      <c r="I114" s="0" t="n">
        <v>1210</v>
      </c>
      <c r="J114" s="0" t="n">
        <v>1240</v>
      </c>
      <c r="K114" s="0" t="n">
        <v>1180</v>
      </c>
      <c r="L114" s="0" t="n">
        <v>1260</v>
      </c>
      <c r="M114" s="0" t="n">
        <v>1380</v>
      </c>
      <c r="N114" s="0" t="n">
        <v>1330</v>
      </c>
      <c r="O114" s="0" t="n">
        <v>1320</v>
      </c>
      <c r="P114" s="0" t="n">
        <v>1250</v>
      </c>
    </row>
    <row r="115" customFormat="false" ht="14.25" hidden="false" customHeight="false" outlineLevel="0" collapsed="false">
      <c r="A115" s="0" t="s">
        <v>16</v>
      </c>
      <c r="B115" s="1" t="s">
        <v>17</v>
      </c>
      <c r="C115" s="2" t="s">
        <v>245</v>
      </c>
      <c r="D115" s="1" t="s">
        <v>246</v>
      </c>
      <c r="E115" s="2" t="s">
        <v>20</v>
      </c>
      <c r="F115" s="2" t="s">
        <v>20</v>
      </c>
      <c r="G115" s="0" t="n">
        <v>11500</v>
      </c>
      <c r="H115" s="0" t="n">
        <v>23710</v>
      </c>
      <c r="I115" s="0" t="n">
        <v>19740</v>
      </c>
      <c r="J115" s="0" t="n">
        <v>14510</v>
      </c>
      <c r="K115" s="0" t="n">
        <v>12740</v>
      </c>
      <c r="L115" s="0" t="n">
        <v>11430</v>
      </c>
      <c r="M115" s="0" t="n">
        <v>13690</v>
      </c>
      <c r="N115" s="0" t="n">
        <v>15650</v>
      </c>
      <c r="O115" s="0" t="n">
        <v>16100</v>
      </c>
      <c r="P115" s="0" t="n">
        <v>11250</v>
      </c>
    </row>
    <row r="116" customFormat="false" ht="14.25" hidden="false" customHeight="false" outlineLevel="0" collapsed="false">
      <c r="A116" s="0" t="s">
        <v>16</v>
      </c>
      <c r="B116" s="1" t="s">
        <v>17</v>
      </c>
      <c r="C116" s="2" t="s">
        <v>247</v>
      </c>
      <c r="D116" s="1" t="s">
        <v>248</v>
      </c>
      <c r="E116" s="2" t="s">
        <v>20</v>
      </c>
      <c r="F116" s="2" t="s">
        <v>20</v>
      </c>
      <c r="G116" s="2" t="s">
        <v>20</v>
      </c>
      <c r="H116" s="2" t="s">
        <v>20</v>
      </c>
      <c r="I116" s="2" t="s">
        <v>20</v>
      </c>
      <c r="J116" s="2" t="s">
        <v>20</v>
      </c>
      <c r="K116" s="2" t="s">
        <v>20</v>
      </c>
      <c r="L116" s="2" t="s">
        <v>20</v>
      </c>
      <c r="M116" s="2" t="s">
        <v>20</v>
      </c>
      <c r="N116" s="2" t="s">
        <v>20</v>
      </c>
      <c r="O116" s="2" t="s">
        <v>20</v>
      </c>
      <c r="P116" s="2" t="s">
        <v>20</v>
      </c>
    </row>
    <row r="117" customFormat="false" ht="14.25" hidden="false" customHeight="false" outlineLevel="0" collapsed="false">
      <c r="A117" s="0" t="s">
        <v>16</v>
      </c>
      <c r="B117" s="1" t="s">
        <v>17</v>
      </c>
      <c r="C117" s="2" t="s">
        <v>249</v>
      </c>
      <c r="D117" s="1" t="s">
        <v>250</v>
      </c>
      <c r="E117" s="2" t="s">
        <v>20</v>
      </c>
      <c r="F117" s="0" t="n">
        <v>8300</v>
      </c>
      <c r="G117" s="0" t="n">
        <v>22220</v>
      </c>
      <c r="H117" s="0" t="n">
        <v>23930</v>
      </c>
      <c r="I117" s="0" t="n">
        <v>26130</v>
      </c>
      <c r="J117" s="0" t="n">
        <v>27850</v>
      </c>
      <c r="K117" s="0" t="n">
        <v>27790</v>
      </c>
      <c r="L117" s="0" t="n">
        <v>29820</v>
      </c>
      <c r="M117" s="0" t="n">
        <v>32540</v>
      </c>
      <c r="N117" s="0" t="n">
        <v>35220</v>
      </c>
      <c r="O117" s="0" t="n">
        <v>37420</v>
      </c>
      <c r="P117" s="2" t="s">
        <v>20</v>
      </c>
    </row>
    <row r="118" customFormat="false" ht="14.25" hidden="false" customHeight="false" outlineLevel="0" collapsed="false">
      <c r="A118" s="0" t="s">
        <v>16</v>
      </c>
      <c r="B118" s="1" t="s">
        <v>17</v>
      </c>
      <c r="C118" s="2" t="s">
        <v>251</v>
      </c>
      <c r="D118" s="1" t="s">
        <v>252</v>
      </c>
      <c r="E118" s="0" t="n">
        <v>28710</v>
      </c>
      <c r="F118" s="0" t="n">
        <v>49060</v>
      </c>
      <c r="G118" s="0" t="n">
        <v>63530</v>
      </c>
      <c r="H118" s="0" t="n">
        <v>63710</v>
      </c>
      <c r="I118" s="0" t="n">
        <v>63840</v>
      </c>
      <c r="J118" s="0" t="n">
        <v>67290</v>
      </c>
      <c r="K118" s="0" t="n">
        <v>67570</v>
      </c>
      <c r="L118" s="0" t="n">
        <v>70450</v>
      </c>
      <c r="M118" s="0" t="n">
        <v>72410</v>
      </c>
      <c r="N118" s="0" t="n">
        <v>74310</v>
      </c>
      <c r="O118" s="2" t="s">
        <v>20</v>
      </c>
      <c r="P118" s="2" t="s">
        <v>20</v>
      </c>
    </row>
    <row r="119" customFormat="false" ht="14.25" hidden="false" customHeight="false" outlineLevel="0" collapsed="false">
      <c r="A119" s="0" t="s">
        <v>16</v>
      </c>
      <c r="B119" s="1" t="s">
        <v>17</v>
      </c>
      <c r="C119" s="2" t="s">
        <v>253</v>
      </c>
      <c r="D119" s="1" t="s">
        <v>254</v>
      </c>
      <c r="E119" s="0" t="n">
        <v>27390</v>
      </c>
      <c r="F119" s="0" t="n">
        <v>31980</v>
      </c>
      <c r="G119" s="0" t="n">
        <v>103410</v>
      </c>
      <c r="H119" s="0" t="n">
        <v>112800</v>
      </c>
      <c r="I119" s="0" t="n">
        <v>127480</v>
      </c>
      <c r="J119" s="0" t="n">
        <v>128420</v>
      </c>
      <c r="K119" s="0" t="n">
        <v>103910</v>
      </c>
      <c r="L119" s="0" t="n">
        <v>103630</v>
      </c>
      <c r="M119" s="0" t="n">
        <v>112320</v>
      </c>
      <c r="N119" s="0" t="n">
        <v>119990</v>
      </c>
      <c r="O119" s="0" t="n">
        <v>117340</v>
      </c>
      <c r="P119" s="2" t="s">
        <v>20</v>
      </c>
    </row>
    <row r="120" customFormat="false" ht="14.25" hidden="false" customHeight="false" outlineLevel="0" collapsed="false">
      <c r="A120" s="0" t="s">
        <v>16</v>
      </c>
      <c r="B120" s="1" t="s">
        <v>17</v>
      </c>
      <c r="C120" s="2" t="s">
        <v>255</v>
      </c>
      <c r="D120" s="1" t="s">
        <v>256</v>
      </c>
      <c r="E120" s="0" t="n">
        <v>1160</v>
      </c>
      <c r="F120" s="0" t="n">
        <v>1270</v>
      </c>
      <c r="G120" s="0" t="n">
        <v>1530</v>
      </c>
      <c r="H120" s="0" t="n">
        <v>1490</v>
      </c>
      <c r="I120" s="0" t="n">
        <v>1490</v>
      </c>
      <c r="J120" s="0" t="n">
        <v>1520</v>
      </c>
      <c r="K120" s="0" t="n">
        <v>1500</v>
      </c>
      <c r="L120" s="0" t="n">
        <v>1550</v>
      </c>
      <c r="M120" s="0" t="n">
        <v>1540</v>
      </c>
      <c r="N120" s="0" t="n">
        <v>1600</v>
      </c>
      <c r="O120" s="0" t="n">
        <v>1620</v>
      </c>
      <c r="P120" s="0" t="n">
        <v>1540</v>
      </c>
    </row>
    <row r="121" customFormat="false" ht="14.25" hidden="false" customHeight="false" outlineLevel="0" collapsed="false">
      <c r="A121" s="0" t="s">
        <v>16</v>
      </c>
      <c r="B121" s="1" t="s">
        <v>17</v>
      </c>
      <c r="C121" s="2" t="s">
        <v>257</v>
      </c>
      <c r="D121" s="1" t="s">
        <v>258</v>
      </c>
      <c r="E121" s="0" t="n">
        <v>460</v>
      </c>
      <c r="F121" s="0" t="n">
        <v>670</v>
      </c>
      <c r="G121" s="0" t="n">
        <v>1050</v>
      </c>
      <c r="H121" s="0" t="n">
        <v>1010</v>
      </c>
      <c r="I121" s="0" t="n">
        <v>1080</v>
      </c>
      <c r="J121" s="0" t="n">
        <v>1050</v>
      </c>
      <c r="K121" s="0" t="n">
        <v>980</v>
      </c>
      <c r="L121" s="0" t="n">
        <v>1020</v>
      </c>
      <c r="M121" s="0" t="n">
        <v>1420</v>
      </c>
      <c r="N121" s="0" t="n">
        <v>1480</v>
      </c>
      <c r="O121" s="0" t="n">
        <v>1550</v>
      </c>
      <c r="P121" s="0" t="n">
        <v>1540</v>
      </c>
    </row>
    <row r="122" customFormat="false" ht="14.25" hidden="false" customHeight="false" outlineLevel="0" collapsed="false">
      <c r="A122" s="0" t="s">
        <v>16</v>
      </c>
      <c r="B122" s="1" t="s">
        <v>17</v>
      </c>
      <c r="C122" s="2" t="s">
        <v>259</v>
      </c>
      <c r="D122" s="1" t="s">
        <v>260</v>
      </c>
      <c r="E122" s="0" t="n">
        <v>6530</v>
      </c>
      <c r="F122" s="0" t="n">
        <v>11870</v>
      </c>
      <c r="G122" s="0" t="n">
        <v>21190</v>
      </c>
      <c r="H122" s="0" t="n">
        <v>22140</v>
      </c>
      <c r="I122" s="0" t="n">
        <v>22690</v>
      </c>
      <c r="J122" s="0" t="n">
        <v>23790</v>
      </c>
      <c r="K122" s="0" t="n">
        <v>24130</v>
      </c>
      <c r="L122" s="0" t="n">
        <v>24840</v>
      </c>
      <c r="M122" s="0" t="n">
        <v>25910</v>
      </c>
      <c r="N122" s="0" t="n">
        <v>27340</v>
      </c>
      <c r="O122" s="0" t="n">
        <v>28780</v>
      </c>
      <c r="P122" s="0" t="n">
        <v>27370</v>
      </c>
    </row>
    <row r="123" customFormat="false" ht="14.25" hidden="false" customHeight="false" outlineLevel="0" collapsed="false">
      <c r="A123" s="0" t="s">
        <v>16</v>
      </c>
      <c r="B123" s="1" t="s">
        <v>17</v>
      </c>
      <c r="C123" s="2" t="s">
        <v>261</v>
      </c>
      <c r="D123" s="1" t="s">
        <v>262</v>
      </c>
      <c r="E123" s="2" t="s">
        <v>20</v>
      </c>
      <c r="F123" s="0" t="n">
        <v>8060</v>
      </c>
      <c r="G123" s="0" t="n">
        <v>12110</v>
      </c>
      <c r="H123" s="0" t="n">
        <v>12400</v>
      </c>
      <c r="I123" s="0" t="n">
        <v>13140</v>
      </c>
      <c r="J123" s="0" t="n">
        <v>14460</v>
      </c>
      <c r="K123" s="0" t="n">
        <v>15410</v>
      </c>
      <c r="L123" s="0" t="n">
        <v>16010</v>
      </c>
      <c r="M123" s="0" t="n">
        <v>16630</v>
      </c>
      <c r="N123" s="0" t="n">
        <v>17460</v>
      </c>
      <c r="O123" s="0" t="n">
        <v>18340</v>
      </c>
      <c r="P123" s="0" t="n">
        <v>12840</v>
      </c>
    </row>
    <row r="124" customFormat="false" ht="14.25" hidden="false" customHeight="false" outlineLevel="0" collapsed="false">
      <c r="A124" s="0" t="s">
        <v>16</v>
      </c>
      <c r="B124" s="1" t="s">
        <v>17</v>
      </c>
      <c r="C124" s="2" t="s">
        <v>263</v>
      </c>
      <c r="D124" s="1" t="s">
        <v>264</v>
      </c>
      <c r="E124" s="0" t="n">
        <v>800</v>
      </c>
      <c r="F124" s="0" t="n">
        <v>1120</v>
      </c>
      <c r="G124" s="0" t="n">
        <v>1760</v>
      </c>
      <c r="H124" s="0" t="n">
        <v>1700</v>
      </c>
      <c r="I124" s="0" t="n">
        <v>1750</v>
      </c>
      <c r="J124" s="0" t="n">
        <v>1860</v>
      </c>
      <c r="K124" s="0" t="n">
        <v>1990</v>
      </c>
      <c r="L124" s="0" t="n">
        <v>2130</v>
      </c>
      <c r="M124" s="0" t="n">
        <v>2170</v>
      </c>
      <c r="N124" s="0" t="n">
        <v>2270</v>
      </c>
      <c r="O124" s="0" t="n">
        <v>2330</v>
      </c>
      <c r="P124" s="0" t="n">
        <v>2250</v>
      </c>
    </row>
    <row r="125" customFormat="false" ht="14.25" hidden="false" customHeight="false" outlineLevel="0" collapsed="false">
      <c r="A125" s="0" t="s">
        <v>16</v>
      </c>
      <c r="B125" s="1" t="s">
        <v>17</v>
      </c>
      <c r="C125" s="2" t="s">
        <v>265</v>
      </c>
      <c r="D125" s="1" t="s">
        <v>266</v>
      </c>
      <c r="E125" s="0" t="n">
        <v>9700</v>
      </c>
      <c r="F125" s="0" t="n">
        <v>17670</v>
      </c>
      <c r="G125" s="0" t="n">
        <v>28290</v>
      </c>
      <c r="H125" s="0" t="n">
        <v>28820</v>
      </c>
      <c r="I125" s="0" t="n">
        <v>30690</v>
      </c>
      <c r="J125" s="0" t="n">
        <v>32560</v>
      </c>
      <c r="K125" s="0" t="n">
        <v>35380</v>
      </c>
      <c r="L125" s="0" t="n">
        <v>36000</v>
      </c>
      <c r="M125" s="0" t="n">
        <v>38300</v>
      </c>
      <c r="N125" s="0" t="n">
        <v>41160</v>
      </c>
      <c r="O125" s="0" t="n">
        <v>43240</v>
      </c>
      <c r="P125" s="0" t="n">
        <v>38800</v>
      </c>
    </row>
    <row r="126" customFormat="false" ht="14.25" hidden="false" customHeight="false" outlineLevel="0" collapsed="false">
      <c r="A126" s="0" t="s">
        <v>16</v>
      </c>
      <c r="B126" s="1" t="s">
        <v>17</v>
      </c>
      <c r="C126" s="2" t="s">
        <v>267</v>
      </c>
      <c r="D126" s="1" t="s">
        <v>268</v>
      </c>
      <c r="E126" s="2" t="s">
        <v>20</v>
      </c>
      <c r="F126" s="0" t="n">
        <v>3180</v>
      </c>
      <c r="G126" s="0" t="n">
        <v>3950</v>
      </c>
      <c r="H126" s="0" t="n">
        <v>3740</v>
      </c>
      <c r="I126" s="0" t="n">
        <v>4070</v>
      </c>
      <c r="J126" s="0" t="n">
        <v>4270</v>
      </c>
      <c r="K126" s="0" t="n">
        <v>4670</v>
      </c>
      <c r="L126" s="0" t="n">
        <v>4580</v>
      </c>
      <c r="M126" s="0" t="n">
        <v>4710</v>
      </c>
      <c r="N126" s="0" t="n">
        <v>4910</v>
      </c>
      <c r="O126" s="0" t="n">
        <v>5130</v>
      </c>
      <c r="P126" s="2" t="s">
        <v>20</v>
      </c>
    </row>
    <row r="127" customFormat="false" ht="14.25" hidden="false" customHeight="false" outlineLevel="0" collapsed="false">
      <c r="A127" s="0" t="s">
        <v>16</v>
      </c>
      <c r="B127" s="1" t="s">
        <v>17</v>
      </c>
      <c r="C127" s="2" t="s">
        <v>269</v>
      </c>
      <c r="D127" s="1" t="s">
        <v>270</v>
      </c>
      <c r="E127" s="0" t="n">
        <v>2560</v>
      </c>
      <c r="F127" s="0" t="n">
        <v>3070</v>
      </c>
      <c r="G127" s="0" t="n">
        <v>4120</v>
      </c>
      <c r="H127" s="0" t="n">
        <v>4140</v>
      </c>
      <c r="I127" s="0" t="n">
        <v>4350</v>
      </c>
      <c r="J127" s="0" t="n">
        <v>4130</v>
      </c>
      <c r="K127" s="0" t="n">
        <v>4080</v>
      </c>
      <c r="L127" s="0" t="n">
        <v>4610</v>
      </c>
      <c r="M127" s="0" t="n">
        <v>5000</v>
      </c>
      <c r="N127" s="0" t="n">
        <v>5140</v>
      </c>
      <c r="O127" s="0" t="n">
        <v>5350</v>
      </c>
      <c r="P127" s="0" t="n">
        <v>5240</v>
      </c>
    </row>
    <row r="128" customFormat="false" ht="14.25" hidden="false" customHeight="false" outlineLevel="0" collapsed="false">
      <c r="A128" s="0" t="s">
        <v>16</v>
      </c>
      <c r="B128" s="1" t="s">
        <v>17</v>
      </c>
      <c r="C128" s="2" t="s">
        <v>271</v>
      </c>
      <c r="D128" s="1" t="s">
        <v>272</v>
      </c>
      <c r="E128" s="0" t="n">
        <v>4900</v>
      </c>
      <c r="F128" s="0" t="n">
        <v>9000</v>
      </c>
      <c r="G128" s="0" t="n">
        <v>16340</v>
      </c>
      <c r="H128" s="0" t="n">
        <v>17570</v>
      </c>
      <c r="I128" s="0" t="n">
        <v>19240</v>
      </c>
      <c r="J128" s="0" t="n">
        <v>19920</v>
      </c>
      <c r="K128" s="0" t="n">
        <v>20860</v>
      </c>
      <c r="L128" s="0" t="n">
        <v>22390</v>
      </c>
      <c r="M128" s="0" t="n">
        <v>23540</v>
      </c>
      <c r="N128" s="0" t="n">
        <v>25460</v>
      </c>
      <c r="O128" s="0" t="n">
        <v>26790</v>
      </c>
      <c r="P128" s="0" t="n">
        <v>22390</v>
      </c>
    </row>
    <row r="129" customFormat="false" ht="14.25" hidden="false" customHeight="false" outlineLevel="0" collapsed="false">
      <c r="A129" s="0" t="s">
        <v>16</v>
      </c>
      <c r="B129" s="1" t="s">
        <v>17</v>
      </c>
      <c r="C129" s="2" t="s">
        <v>273</v>
      </c>
      <c r="D129" s="1" t="s">
        <v>274</v>
      </c>
      <c r="E129" s="0" t="n">
        <v>7870</v>
      </c>
      <c r="F129" s="0" t="n">
        <v>10850</v>
      </c>
      <c r="G129" s="0" t="n">
        <v>16260</v>
      </c>
      <c r="H129" s="0" t="n">
        <v>16830</v>
      </c>
      <c r="I129" s="0" t="n">
        <v>16870</v>
      </c>
      <c r="J129" s="0" t="n">
        <v>17610</v>
      </c>
      <c r="K129" s="0" t="n">
        <v>17830</v>
      </c>
      <c r="L129" s="0" t="n">
        <v>18810</v>
      </c>
      <c r="M129" s="0" t="n">
        <v>19210</v>
      </c>
      <c r="N129" s="0" t="n">
        <v>19710</v>
      </c>
      <c r="O129" s="0" t="n">
        <v>19860</v>
      </c>
      <c r="P129" s="0" t="n">
        <v>18170</v>
      </c>
    </row>
    <row r="130" customFormat="false" ht="14.25" hidden="false" customHeight="false" outlineLevel="0" collapsed="false">
      <c r="A130" s="0" t="s">
        <v>16</v>
      </c>
      <c r="B130" s="1" t="s">
        <v>17</v>
      </c>
      <c r="C130" s="2" t="s">
        <v>275</v>
      </c>
      <c r="D130" s="1" t="s">
        <v>276</v>
      </c>
      <c r="E130" s="2" t="s">
        <v>20</v>
      </c>
      <c r="F130" s="0" t="n">
        <v>2550</v>
      </c>
      <c r="G130" s="0" t="n">
        <v>3530</v>
      </c>
      <c r="H130" s="0" t="n">
        <v>3550</v>
      </c>
      <c r="I130" s="0" t="n">
        <v>3540</v>
      </c>
      <c r="J130" s="0" t="n">
        <v>3470</v>
      </c>
      <c r="K130" s="0" t="n">
        <v>3980</v>
      </c>
      <c r="L130" s="0" t="n">
        <v>3930</v>
      </c>
      <c r="M130" s="0" t="n">
        <v>3960</v>
      </c>
      <c r="N130" s="0" t="n">
        <v>3630</v>
      </c>
      <c r="O130" s="0" t="n">
        <v>4100</v>
      </c>
      <c r="P130" s="2" t="s">
        <v>20</v>
      </c>
    </row>
    <row r="131" customFormat="false" ht="14.25" hidden="false" customHeight="false" outlineLevel="0" collapsed="false">
      <c r="A131" s="0" t="s">
        <v>16</v>
      </c>
      <c r="B131" s="1" t="s">
        <v>17</v>
      </c>
      <c r="C131" s="2" t="s">
        <v>277</v>
      </c>
      <c r="D131" s="1" t="s">
        <v>278</v>
      </c>
      <c r="E131" s="2" t="s">
        <v>20</v>
      </c>
      <c r="F131" s="0" t="n">
        <v>3240</v>
      </c>
      <c r="G131" s="0" t="n">
        <v>7390</v>
      </c>
      <c r="H131" s="0" t="n">
        <v>8050</v>
      </c>
      <c r="I131" s="0" t="n">
        <v>9170</v>
      </c>
      <c r="J131" s="0" t="n">
        <v>9590</v>
      </c>
      <c r="K131" s="0" t="n">
        <v>9790</v>
      </c>
      <c r="L131" s="0" t="n">
        <v>11200</v>
      </c>
      <c r="M131" s="0" t="n">
        <v>12320</v>
      </c>
      <c r="N131" s="0" t="n">
        <v>13270</v>
      </c>
      <c r="O131" s="0" t="n">
        <v>14280</v>
      </c>
      <c r="P131" s="0" t="n">
        <v>13520</v>
      </c>
    </row>
    <row r="132" customFormat="false" ht="14.25" hidden="false" customHeight="false" outlineLevel="0" collapsed="false">
      <c r="A132" s="0" t="s">
        <v>16</v>
      </c>
      <c r="B132" s="1" t="s">
        <v>17</v>
      </c>
      <c r="C132" s="2" t="s">
        <v>279</v>
      </c>
      <c r="D132" s="1" t="s">
        <v>280</v>
      </c>
      <c r="E132" s="2" t="s">
        <v>20</v>
      </c>
      <c r="F132" s="2" t="s">
        <v>20</v>
      </c>
      <c r="G132" s="2" t="s">
        <v>20</v>
      </c>
      <c r="H132" s="2" t="s">
        <v>20</v>
      </c>
      <c r="I132" s="2" t="s">
        <v>20</v>
      </c>
      <c r="J132" s="2" t="s">
        <v>20</v>
      </c>
      <c r="K132" s="2" t="s">
        <v>20</v>
      </c>
      <c r="L132" s="2" t="s">
        <v>20</v>
      </c>
      <c r="M132" s="2" t="s">
        <v>20</v>
      </c>
      <c r="N132" s="2" t="s">
        <v>20</v>
      </c>
      <c r="O132" s="2" t="s">
        <v>20</v>
      </c>
      <c r="P132" s="2" t="s">
        <v>20</v>
      </c>
    </row>
    <row r="133" customFormat="false" ht="14.25" hidden="false" customHeight="false" outlineLevel="0" collapsed="false">
      <c r="A133" s="0" t="s">
        <v>16</v>
      </c>
      <c r="B133" s="1" t="s">
        <v>17</v>
      </c>
      <c r="C133" s="2" t="s">
        <v>281</v>
      </c>
      <c r="D133" s="1" t="s">
        <v>282</v>
      </c>
      <c r="E133" s="0" t="n">
        <v>3290</v>
      </c>
      <c r="F133" s="0" t="n">
        <v>3710</v>
      </c>
      <c r="G133" s="0" t="n">
        <v>8180</v>
      </c>
      <c r="H133" s="0" t="n">
        <v>9440</v>
      </c>
      <c r="I133" s="0" t="n">
        <v>9950</v>
      </c>
      <c r="J133" s="0" t="n">
        <v>10160</v>
      </c>
      <c r="K133" s="0" t="n">
        <v>9880</v>
      </c>
      <c r="L133" s="0" t="n">
        <v>9860</v>
      </c>
      <c r="M133" s="0" t="n">
        <v>9720</v>
      </c>
      <c r="N133" s="0" t="n">
        <v>10950</v>
      </c>
      <c r="O133" s="0" t="n">
        <v>11400</v>
      </c>
      <c r="P133" s="0" t="n">
        <v>10930</v>
      </c>
    </row>
    <row r="134" customFormat="false" ht="14.25" hidden="false" customHeight="false" outlineLevel="0" collapsed="false">
      <c r="A134" s="0" t="s">
        <v>16</v>
      </c>
      <c r="B134" s="1" t="s">
        <v>17</v>
      </c>
      <c r="C134" s="2" t="s">
        <v>283</v>
      </c>
      <c r="D134" s="1" t="s">
        <v>284</v>
      </c>
      <c r="E134" s="2" t="s">
        <v>20</v>
      </c>
      <c r="F134" s="0" t="n">
        <v>6310</v>
      </c>
      <c r="G134" s="0" t="n">
        <v>14590</v>
      </c>
      <c r="H134" s="0" t="n">
        <v>14100</v>
      </c>
      <c r="I134" s="0" t="n">
        <v>15160</v>
      </c>
      <c r="J134" s="0" t="n">
        <v>15580</v>
      </c>
      <c r="K134" s="0" t="n">
        <v>16690</v>
      </c>
      <c r="L134" s="0" t="n">
        <v>18360</v>
      </c>
      <c r="M134" s="0" t="n">
        <v>20090</v>
      </c>
      <c r="N134" s="0" t="n">
        <v>21800</v>
      </c>
      <c r="O134" s="0" t="n">
        <v>23420</v>
      </c>
      <c r="P134" s="0" t="n">
        <v>20870</v>
      </c>
    </row>
    <row r="135" customFormat="false" ht="14.25" hidden="false" customHeight="false" outlineLevel="0" collapsed="false">
      <c r="A135" s="0" t="s">
        <v>16</v>
      </c>
      <c r="B135" s="1" t="s">
        <v>17</v>
      </c>
      <c r="C135" s="2" t="s">
        <v>285</v>
      </c>
      <c r="D135" s="1" t="s">
        <v>286</v>
      </c>
      <c r="E135" s="0" t="n">
        <v>2480</v>
      </c>
      <c r="F135" s="0" t="n">
        <v>3510</v>
      </c>
      <c r="G135" s="0" t="n">
        <v>6600</v>
      </c>
      <c r="H135" s="0" t="n">
        <v>6570</v>
      </c>
      <c r="I135" s="0" t="n">
        <v>6820</v>
      </c>
      <c r="J135" s="0" t="n">
        <v>6450</v>
      </c>
      <c r="K135" s="0" t="n">
        <v>6890</v>
      </c>
      <c r="L135" s="0" t="n">
        <v>6980</v>
      </c>
      <c r="M135" s="0" t="n">
        <v>7170</v>
      </c>
      <c r="N135" s="0" t="n">
        <v>7480</v>
      </c>
      <c r="O135" s="0" t="n">
        <v>7700</v>
      </c>
      <c r="P135" s="0" t="n">
        <v>7190</v>
      </c>
    </row>
    <row r="136" customFormat="false" ht="14.25" hidden="false" customHeight="false" outlineLevel="0" collapsed="false">
      <c r="A136" s="0" t="s">
        <v>16</v>
      </c>
      <c r="B136" s="1" t="s">
        <v>17</v>
      </c>
      <c r="C136" s="2" t="s">
        <v>287</v>
      </c>
      <c r="D136" s="1" t="s">
        <v>288</v>
      </c>
      <c r="E136" s="2" t="s">
        <v>20</v>
      </c>
      <c r="F136" s="0" t="n">
        <v>460</v>
      </c>
      <c r="G136" s="0" t="n">
        <v>1000</v>
      </c>
      <c r="H136" s="0" t="n">
        <v>1030</v>
      </c>
      <c r="I136" s="0" t="n">
        <v>1080</v>
      </c>
      <c r="J136" s="0" t="n">
        <v>1130</v>
      </c>
      <c r="K136" s="0" t="n">
        <v>1270</v>
      </c>
      <c r="L136" s="0" t="n">
        <v>1330</v>
      </c>
      <c r="M136" s="0" t="n">
        <v>1250</v>
      </c>
      <c r="N136" s="0" t="n">
        <v>1290</v>
      </c>
      <c r="O136" s="0" t="n">
        <v>1310</v>
      </c>
      <c r="P136" s="0" t="n">
        <v>1250</v>
      </c>
    </row>
    <row r="137" customFormat="false" ht="14.25" hidden="false" customHeight="false" outlineLevel="0" collapsed="false">
      <c r="A137" s="0" t="s">
        <v>16</v>
      </c>
      <c r="B137" s="1" t="s">
        <v>17</v>
      </c>
      <c r="C137" s="2" t="s">
        <v>289</v>
      </c>
      <c r="D137" s="1" t="s">
        <v>290</v>
      </c>
      <c r="E137" s="0" t="n">
        <v>430</v>
      </c>
      <c r="F137" s="0" t="n">
        <v>920</v>
      </c>
      <c r="G137" s="0" t="n">
        <v>3470</v>
      </c>
      <c r="H137" s="0" t="n">
        <v>3580</v>
      </c>
      <c r="I137" s="0" t="n">
        <v>3890</v>
      </c>
      <c r="J137" s="0" t="n">
        <v>4080</v>
      </c>
      <c r="K137" s="0" t="n">
        <v>4280</v>
      </c>
      <c r="L137" s="0" t="n">
        <v>4370</v>
      </c>
      <c r="M137" s="0" t="n">
        <v>4600</v>
      </c>
      <c r="N137" s="0" t="n">
        <v>5000</v>
      </c>
      <c r="O137" s="0" t="n">
        <v>5150</v>
      </c>
      <c r="P137" s="0" t="n">
        <v>4650</v>
      </c>
    </row>
    <row r="138" customFormat="false" ht="14.25" hidden="false" customHeight="false" outlineLevel="0" collapsed="false">
      <c r="A138" s="0" t="s">
        <v>16</v>
      </c>
      <c r="B138" s="1" t="s">
        <v>17</v>
      </c>
      <c r="C138" s="2" t="s">
        <v>291</v>
      </c>
      <c r="D138" s="1" t="s">
        <v>292</v>
      </c>
      <c r="E138" s="0" t="n">
        <v>3770</v>
      </c>
      <c r="F138" s="0" t="n">
        <v>5230</v>
      </c>
      <c r="G138" s="0" t="n">
        <v>8590</v>
      </c>
      <c r="H138" s="0" t="n">
        <v>8970</v>
      </c>
      <c r="I138" s="0" t="n">
        <v>9710</v>
      </c>
      <c r="J138" s="0" t="n">
        <v>10410</v>
      </c>
      <c r="K138" s="0" t="n">
        <v>10620</v>
      </c>
      <c r="L138" s="0" t="n">
        <v>10220</v>
      </c>
      <c r="M138" s="0" t="n">
        <v>9990</v>
      </c>
      <c r="N138" s="0" t="n">
        <v>10020</v>
      </c>
      <c r="O138" s="0" t="n">
        <v>10010</v>
      </c>
      <c r="P138" s="0" t="n">
        <v>9220</v>
      </c>
    </row>
    <row r="139" customFormat="false" ht="14.25" hidden="false" customHeight="false" outlineLevel="0" collapsed="false">
      <c r="A139" s="0" t="s">
        <v>16</v>
      </c>
      <c r="B139" s="1" t="s">
        <v>17</v>
      </c>
      <c r="C139" s="2" t="s">
        <v>293</v>
      </c>
      <c r="D139" s="1" t="s">
        <v>294</v>
      </c>
      <c r="E139" s="2" t="s">
        <v>20</v>
      </c>
      <c r="F139" s="2" t="s">
        <v>20</v>
      </c>
      <c r="G139" s="0" t="n">
        <v>8150</v>
      </c>
      <c r="H139" s="0" t="n">
        <v>9110</v>
      </c>
      <c r="I139" s="0" t="n">
        <v>12350</v>
      </c>
      <c r="J139" s="0" t="n">
        <v>15420</v>
      </c>
      <c r="K139" s="0" t="n">
        <v>17970</v>
      </c>
      <c r="L139" s="0" t="n">
        <v>18560</v>
      </c>
      <c r="M139" s="0" t="n">
        <v>18160</v>
      </c>
      <c r="N139" s="0" t="n">
        <v>18730</v>
      </c>
      <c r="O139" s="0" t="n">
        <v>20770</v>
      </c>
      <c r="P139" s="2" t="s">
        <v>20</v>
      </c>
    </row>
    <row r="140" customFormat="false" ht="14.25" hidden="false" customHeight="false" outlineLevel="0" collapsed="false">
      <c r="A140" s="0" t="s">
        <v>16</v>
      </c>
      <c r="B140" s="1" t="s">
        <v>17</v>
      </c>
      <c r="C140" s="2" t="s">
        <v>295</v>
      </c>
      <c r="D140" s="1" t="s">
        <v>296</v>
      </c>
      <c r="E140" s="0" t="n">
        <v>860</v>
      </c>
      <c r="F140" s="0" t="n">
        <v>1360</v>
      </c>
      <c r="G140" s="0" t="n">
        <v>2300</v>
      </c>
      <c r="H140" s="0" t="n">
        <v>2520</v>
      </c>
      <c r="I140" s="0" t="n">
        <v>2720</v>
      </c>
      <c r="J140" s="0" t="n">
        <v>2990</v>
      </c>
      <c r="K140" s="0" t="n">
        <v>3040</v>
      </c>
      <c r="L140" s="0" t="n">
        <v>3030</v>
      </c>
      <c r="M140" s="0" t="n">
        <v>3600</v>
      </c>
      <c r="N140" s="0" t="n">
        <v>3890</v>
      </c>
      <c r="O140" s="0" t="n">
        <v>4160</v>
      </c>
      <c r="P140" s="0" t="n">
        <v>4060</v>
      </c>
    </row>
    <row r="141" customFormat="false" ht="14.25" hidden="false" customHeight="false" outlineLevel="0" collapsed="false">
      <c r="A141" s="0" t="s">
        <v>16</v>
      </c>
      <c r="B141" s="1" t="s">
        <v>17</v>
      </c>
      <c r="C141" s="2" t="s">
        <v>297</v>
      </c>
      <c r="D141" s="1" t="s">
        <v>298</v>
      </c>
      <c r="E141" s="0" t="n">
        <v>19000</v>
      </c>
      <c r="F141" s="0" t="n">
        <v>32460</v>
      </c>
      <c r="G141" s="0" t="n">
        <v>47250</v>
      </c>
      <c r="H141" s="0" t="n">
        <v>48080</v>
      </c>
      <c r="I141" s="0" t="n">
        <v>49910</v>
      </c>
      <c r="J141" s="0" t="n">
        <v>49110</v>
      </c>
      <c r="K141" s="0" t="n">
        <v>50330</v>
      </c>
      <c r="L141" s="0" t="n">
        <v>51520</v>
      </c>
      <c r="M141" s="0" t="n">
        <v>55500</v>
      </c>
      <c r="N141" s="0" t="n">
        <v>58560</v>
      </c>
      <c r="O141" s="0" t="n">
        <v>59700</v>
      </c>
      <c r="P141" s="2" t="s">
        <v>20</v>
      </c>
    </row>
    <row r="142" customFormat="false" ht="14.25" hidden="false" customHeight="false" outlineLevel="0" collapsed="false">
      <c r="A142" s="0" t="s">
        <v>16</v>
      </c>
      <c r="B142" s="1" t="s">
        <v>17</v>
      </c>
      <c r="C142" s="2" t="s">
        <v>299</v>
      </c>
      <c r="D142" s="1" t="s">
        <v>300</v>
      </c>
      <c r="E142" s="2" t="s">
        <v>20</v>
      </c>
      <c r="F142" s="2" t="s">
        <v>20</v>
      </c>
      <c r="G142" s="2" t="s">
        <v>20</v>
      </c>
      <c r="H142" s="2" t="s">
        <v>20</v>
      </c>
      <c r="I142" s="2" t="s">
        <v>20</v>
      </c>
      <c r="J142" s="2" t="s">
        <v>20</v>
      </c>
      <c r="K142" s="2" t="s">
        <v>20</v>
      </c>
      <c r="L142" s="2" t="s">
        <v>20</v>
      </c>
      <c r="M142" s="2" t="s">
        <v>20</v>
      </c>
      <c r="N142" s="2" t="s">
        <v>20</v>
      </c>
      <c r="O142" s="2" t="s">
        <v>20</v>
      </c>
      <c r="P142" s="2" t="s">
        <v>20</v>
      </c>
    </row>
    <row r="143" customFormat="false" ht="14.25" hidden="false" customHeight="false" outlineLevel="0" collapsed="false">
      <c r="A143" s="0" t="s">
        <v>16</v>
      </c>
      <c r="B143" s="1" t="s">
        <v>17</v>
      </c>
      <c r="C143" s="2" t="s">
        <v>301</v>
      </c>
      <c r="D143" s="1" t="s">
        <v>302</v>
      </c>
      <c r="E143" s="0" t="n">
        <v>14240</v>
      </c>
      <c r="F143" s="0" t="n">
        <v>20290</v>
      </c>
      <c r="G143" s="0" t="n">
        <v>31220</v>
      </c>
      <c r="H143" s="0" t="n">
        <v>31620</v>
      </c>
      <c r="I143" s="0" t="n">
        <v>34810</v>
      </c>
      <c r="J143" s="0" t="n">
        <v>35790</v>
      </c>
      <c r="K143" s="0" t="n">
        <v>36240</v>
      </c>
      <c r="L143" s="0" t="n">
        <v>38670</v>
      </c>
      <c r="M143" s="0" t="n">
        <v>40700</v>
      </c>
      <c r="N143" s="0" t="n">
        <v>42360</v>
      </c>
      <c r="O143" s="0" t="n">
        <v>43950</v>
      </c>
      <c r="P143" s="2" t="s">
        <v>20</v>
      </c>
    </row>
    <row r="144" customFormat="false" ht="14.25" hidden="false" customHeight="false" outlineLevel="0" collapsed="false">
      <c r="A144" s="0" t="s">
        <v>16</v>
      </c>
      <c r="B144" s="1" t="s">
        <v>17</v>
      </c>
      <c r="C144" s="2" t="s">
        <v>303</v>
      </c>
      <c r="D144" s="1" t="s">
        <v>304</v>
      </c>
      <c r="E144" s="0" t="n">
        <v>1960</v>
      </c>
      <c r="F144" s="0" t="n">
        <v>2670</v>
      </c>
      <c r="G144" s="0" t="n">
        <v>4150</v>
      </c>
      <c r="H144" s="0" t="n">
        <v>4250</v>
      </c>
      <c r="I144" s="0" t="n">
        <v>4390</v>
      </c>
      <c r="J144" s="0" t="n">
        <v>4760</v>
      </c>
      <c r="K144" s="0" t="n">
        <v>5090</v>
      </c>
      <c r="L144" s="0" t="n">
        <v>5420</v>
      </c>
      <c r="M144" s="0" t="n">
        <v>5690</v>
      </c>
      <c r="N144" s="0" t="n">
        <v>5570</v>
      </c>
      <c r="O144" s="0" t="n">
        <v>5470</v>
      </c>
      <c r="P144" s="0" t="n">
        <v>5410</v>
      </c>
    </row>
    <row r="145" customFormat="false" ht="14.25" hidden="false" customHeight="false" outlineLevel="0" collapsed="false">
      <c r="A145" s="0" t="s">
        <v>16</v>
      </c>
      <c r="B145" s="1" t="s">
        <v>17</v>
      </c>
      <c r="C145" s="2" t="s">
        <v>305</v>
      </c>
      <c r="D145" s="1" t="s">
        <v>306</v>
      </c>
      <c r="E145" s="0" t="n">
        <v>770</v>
      </c>
      <c r="F145" s="0" t="n">
        <v>810</v>
      </c>
      <c r="G145" s="0" t="n">
        <v>1140</v>
      </c>
      <c r="H145" s="0" t="n">
        <v>1200</v>
      </c>
      <c r="I145" s="0" t="n">
        <v>1170</v>
      </c>
      <c r="J145" s="0" t="n">
        <v>1190</v>
      </c>
      <c r="K145" s="0" t="n">
        <v>1200</v>
      </c>
      <c r="L145" s="0" t="n">
        <v>1190</v>
      </c>
      <c r="M145" s="0" t="n">
        <v>1210</v>
      </c>
      <c r="N145" s="0" t="n">
        <v>1280</v>
      </c>
      <c r="O145" s="0" t="n">
        <v>1330</v>
      </c>
      <c r="P145" s="0" t="n">
        <v>1210</v>
      </c>
    </row>
    <row r="146" customFormat="false" ht="14.25" hidden="false" customHeight="false" outlineLevel="0" collapsed="false">
      <c r="A146" s="0" t="s">
        <v>16</v>
      </c>
      <c r="B146" s="1" t="s">
        <v>17</v>
      </c>
      <c r="C146" s="2" t="s">
        <v>307</v>
      </c>
      <c r="D146" s="1" t="s">
        <v>308</v>
      </c>
      <c r="E146" s="0" t="n">
        <v>1940</v>
      </c>
      <c r="F146" s="0" t="n">
        <v>2090</v>
      </c>
      <c r="G146" s="0" t="n">
        <v>4650</v>
      </c>
      <c r="H146" s="0" t="n">
        <v>4740</v>
      </c>
      <c r="I146" s="0" t="n">
        <v>4970</v>
      </c>
      <c r="J146" s="0" t="n">
        <v>5320</v>
      </c>
      <c r="K146" s="0" t="n">
        <v>5280</v>
      </c>
      <c r="L146" s="0" t="n">
        <v>5120</v>
      </c>
      <c r="M146" s="0" t="n">
        <v>5030</v>
      </c>
      <c r="N146" s="0" t="n">
        <v>5040</v>
      </c>
      <c r="O146" s="0" t="n">
        <v>5180</v>
      </c>
      <c r="P146" s="0" t="n">
        <v>5000</v>
      </c>
    </row>
    <row r="147" customFormat="false" ht="14.25" hidden="false" customHeight="false" outlineLevel="0" collapsed="false">
      <c r="A147" s="0" t="s">
        <v>16</v>
      </c>
      <c r="B147" s="1" t="s">
        <v>17</v>
      </c>
      <c r="C147" s="2" t="s">
        <v>309</v>
      </c>
      <c r="D147" s="1" t="s">
        <v>310</v>
      </c>
      <c r="E147" s="0" t="n">
        <v>5460</v>
      </c>
      <c r="F147" s="0" t="n">
        <v>6020</v>
      </c>
      <c r="G147" s="0" t="n">
        <v>11400</v>
      </c>
      <c r="H147" s="0" t="n">
        <v>11580</v>
      </c>
      <c r="I147" s="0" t="n">
        <v>12350</v>
      </c>
      <c r="J147" s="0" t="n">
        <v>13120</v>
      </c>
      <c r="K147" s="0" t="n">
        <v>13390</v>
      </c>
      <c r="L147" s="0" t="n">
        <v>14480</v>
      </c>
      <c r="M147" s="0" t="n">
        <v>15030</v>
      </c>
      <c r="N147" s="0" t="n">
        <v>15970</v>
      </c>
      <c r="O147" s="0" t="n">
        <v>16770</v>
      </c>
      <c r="P147" s="0" t="n">
        <v>16280</v>
      </c>
    </row>
    <row r="148" customFormat="false" ht="14.25" hidden="false" customHeight="false" outlineLevel="0" collapsed="false">
      <c r="A148" s="0" t="s">
        <v>16</v>
      </c>
      <c r="B148" s="1" t="s">
        <v>17</v>
      </c>
      <c r="C148" s="2" t="s">
        <v>311</v>
      </c>
      <c r="D148" s="1" t="s">
        <v>312</v>
      </c>
      <c r="E148" s="2" t="s">
        <v>20</v>
      </c>
      <c r="F148" s="2" t="s">
        <v>20</v>
      </c>
      <c r="G148" s="2" t="s">
        <v>20</v>
      </c>
      <c r="H148" s="2" t="s">
        <v>20</v>
      </c>
      <c r="I148" s="2" t="s">
        <v>20</v>
      </c>
      <c r="J148" s="2" t="s">
        <v>20</v>
      </c>
      <c r="K148" s="2" t="s">
        <v>20</v>
      </c>
      <c r="L148" s="2" t="s">
        <v>20</v>
      </c>
      <c r="M148" s="2" t="s">
        <v>20</v>
      </c>
      <c r="N148" s="2" t="s">
        <v>20</v>
      </c>
      <c r="O148" s="2" t="s">
        <v>20</v>
      </c>
      <c r="P148" s="2" t="s">
        <v>20</v>
      </c>
    </row>
    <row r="149" customFormat="false" ht="14.25" hidden="false" customHeight="false" outlineLevel="0" collapsed="false">
      <c r="A149" s="0" t="s">
        <v>16</v>
      </c>
      <c r="B149" s="1" t="s">
        <v>17</v>
      </c>
      <c r="C149" s="2" t="s">
        <v>313</v>
      </c>
      <c r="D149" s="1" t="s">
        <v>314</v>
      </c>
      <c r="E149" s="0" t="n">
        <v>17900</v>
      </c>
      <c r="F149" s="0" t="n">
        <v>36450</v>
      </c>
      <c r="G149" s="0" t="n">
        <v>62670</v>
      </c>
      <c r="H149" s="0" t="n">
        <v>65910</v>
      </c>
      <c r="I149" s="0" t="n">
        <v>67670</v>
      </c>
      <c r="J149" s="0" t="n">
        <v>67980</v>
      </c>
      <c r="K149" s="0" t="n">
        <v>62880</v>
      </c>
      <c r="L149" s="0" t="n">
        <v>61520</v>
      </c>
      <c r="M149" s="0" t="n">
        <v>66400</v>
      </c>
      <c r="N149" s="0" t="n">
        <v>72330</v>
      </c>
      <c r="O149" s="0" t="n">
        <v>70330</v>
      </c>
      <c r="P149" s="0" t="n">
        <v>66020</v>
      </c>
    </row>
    <row r="150" customFormat="false" ht="14.25" hidden="false" customHeight="false" outlineLevel="0" collapsed="false">
      <c r="A150" s="0" t="s">
        <v>16</v>
      </c>
      <c r="B150" s="1" t="s">
        <v>17</v>
      </c>
      <c r="C150" s="2" t="s">
        <v>315</v>
      </c>
      <c r="D150" s="1" t="s">
        <v>316</v>
      </c>
      <c r="E150" s="0" t="n">
        <v>22410</v>
      </c>
      <c r="F150" s="0" t="n">
        <v>34410</v>
      </c>
      <c r="G150" s="0" t="n">
        <v>40780</v>
      </c>
      <c r="H150" s="0" t="n">
        <v>41890</v>
      </c>
      <c r="I150" s="0" t="n">
        <v>40350</v>
      </c>
      <c r="J150" s="0" t="n">
        <v>36570</v>
      </c>
      <c r="K150" s="0" t="n">
        <v>30100</v>
      </c>
      <c r="L150" s="0" t="n">
        <v>28000</v>
      </c>
      <c r="M150" s="0" t="n">
        <v>27770</v>
      </c>
      <c r="N150" s="0" t="n">
        <v>27110</v>
      </c>
      <c r="O150" s="0" t="n">
        <v>26160</v>
      </c>
      <c r="P150" s="2" t="s">
        <v>20</v>
      </c>
    </row>
    <row r="151" customFormat="false" ht="14.25" hidden="false" customHeight="false" outlineLevel="0" collapsed="false">
      <c r="A151" s="0" t="s">
        <v>16</v>
      </c>
      <c r="B151" s="1" t="s">
        <v>17</v>
      </c>
      <c r="C151" s="2" t="s">
        <v>317</v>
      </c>
      <c r="D151" s="1" t="s">
        <v>318</v>
      </c>
      <c r="E151" s="0" t="n">
        <v>1890</v>
      </c>
      <c r="F151" s="0" t="n">
        <v>2560</v>
      </c>
      <c r="G151" s="0" t="n">
        <v>3940</v>
      </c>
      <c r="H151" s="0" t="n">
        <v>3960</v>
      </c>
      <c r="I151" s="0" t="n">
        <v>4040</v>
      </c>
      <c r="J151" s="0" t="n">
        <v>4170</v>
      </c>
      <c r="K151" s="0" t="n">
        <v>4300</v>
      </c>
      <c r="L151" s="0" t="n">
        <v>4330</v>
      </c>
      <c r="M151" s="0" t="n">
        <v>4500</v>
      </c>
      <c r="N151" s="0" t="n">
        <v>4770</v>
      </c>
      <c r="O151" s="0" t="n">
        <v>4790</v>
      </c>
      <c r="P151" s="0" t="n">
        <v>4770</v>
      </c>
    </row>
    <row r="152" customFormat="false" ht="14.25" hidden="false" customHeight="false" outlineLevel="0" collapsed="false">
      <c r="A152" s="0" t="s">
        <v>16</v>
      </c>
      <c r="B152" s="1" t="s">
        <v>17</v>
      </c>
      <c r="C152" s="2" t="s">
        <v>319</v>
      </c>
      <c r="D152" s="1" t="s">
        <v>320</v>
      </c>
      <c r="E152" s="2" t="s">
        <v>20</v>
      </c>
      <c r="F152" s="0" t="n">
        <v>11010</v>
      </c>
      <c r="G152" s="0" t="n">
        <v>16030</v>
      </c>
      <c r="H152" s="0" t="n">
        <v>16760</v>
      </c>
      <c r="I152" s="0" t="n">
        <v>16540</v>
      </c>
      <c r="J152" s="0" t="n">
        <v>17690</v>
      </c>
      <c r="K152" s="0" t="n">
        <v>19200</v>
      </c>
      <c r="L152" s="0" t="n">
        <v>19490</v>
      </c>
      <c r="M152" s="0" t="n">
        <v>18970</v>
      </c>
      <c r="N152" s="0" t="n">
        <v>20320</v>
      </c>
      <c r="O152" s="0" t="n">
        <v>19530</v>
      </c>
      <c r="P152" s="2" t="s">
        <v>20</v>
      </c>
    </row>
    <row r="153" customFormat="false" ht="14.25" hidden="false" customHeight="false" outlineLevel="0" collapsed="false">
      <c r="A153" s="0" t="s">
        <v>16</v>
      </c>
      <c r="B153" s="1" t="s">
        <v>17</v>
      </c>
      <c r="C153" s="2" t="s">
        <v>321</v>
      </c>
      <c r="D153" s="1" t="s">
        <v>322</v>
      </c>
      <c r="E153" s="0" t="n">
        <v>4870</v>
      </c>
      <c r="F153" s="0" t="n">
        <v>8040</v>
      </c>
      <c r="G153" s="0" t="n">
        <v>15990</v>
      </c>
      <c r="H153" s="0" t="n">
        <v>17410</v>
      </c>
      <c r="I153" s="0" t="n">
        <v>19480</v>
      </c>
      <c r="J153" s="0" t="n">
        <v>20900</v>
      </c>
      <c r="K153" s="0" t="n">
        <v>23700</v>
      </c>
      <c r="L153" s="0" t="n">
        <v>25840</v>
      </c>
      <c r="M153" s="0" t="n">
        <v>28610</v>
      </c>
      <c r="N153" s="0" t="n">
        <v>29530</v>
      </c>
      <c r="O153" s="0" t="n">
        <v>30550</v>
      </c>
      <c r="P153" s="0" t="n">
        <v>25010</v>
      </c>
    </row>
    <row r="154" customFormat="false" ht="14.25" hidden="false" customHeight="false" outlineLevel="0" collapsed="false">
      <c r="A154" s="0" t="s">
        <v>16</v>
      </c>
      <c r="B154" s="1" t="s">
        <v>17</v>
      </c>
      <c r="C154" s="2" t="s">
        <v>323</v>
      </c>
      <c r="D154" s="1" t="s">
        <v>324</v>
      </c>
      <c r="E154" s="0" t="n">
        <v>1400</v>
      </c>
      <c r="F154" s="0" t="n">
        <v>2000</v>
      </c>
      <c r="G154" s="0" t="n">
        <v>2780</v>
      </c>
      <c r="H154" s="0" t="n">
        <v>3040</v>
      </c>
      <c r="I154" s="0" t="n">
        <v>3050</v>
      </c>
      <c r="J154" s="0" t="n">
        <v>3700</v>
      </c>
      <c r="K154" s="0" t="n">
        <v>3890</v>
      </c>
      <c r="L154" s="0" t="n">
        <v>4100</v>
      </c>
      <c r="M154" s="0" t="n">
        <v>4200</v>
      </c>
      <c r="N154" s="0" t="n">
        <v>4180</v>
      </c>
      <c r="O154" s="0" t="n">
        <v>4340</v>
      </c>
      <c r="P154" s="0" t="n">
        <v>4240</v>
      </c>
    </row>
    <row r="155" customFormat="false" ht="14.25" hidden="false" customHeight="false" outlineLevel="0" collapsed="false">
      <c r="A155" s="0" t="s">
        <v>16</v>
      </c>
      <c r="B155" s="1" t="s">
        <v>17</v>
      </c>
      <c r="C155" s="2" t="s">
        <v>325</v>
      </c>
      <c r="D155" s="1" t="s">
        <v>326</v>
      </c>
      <c r="E155" s="2" t="s">
        <v>20</v>
      </c>
      <c r="F155" s="0" t="n">
        <v>5820</v>
      </c>
      <c r="G155" s="0" t="n">
        <v>10130</v>
      </c>
      <c r="H155" s="0" t="n">
        <v>9580</v>
      </c>
      <c r="I155" s="0" t="n">
        <v>10620</v>
      </c>
      <c r="J155" s="0" t="n">
        <v>11040</v>
      </c>
      <c r="K155" s="0" t="n">
        <v>11050</v>
      </c>
      <c r="L155" s="0" t="n">
        <v>11560</v>
      </c>
      <c r="M155" s="0" t="n">
        <v>12170</v>
      </c>
      <c r="N155" s="0" t="n">
        <v>12700</v>
      </c>
      <c r="O155" s="0" t="n">
        <v>12760</v>
      </c>
      <c r="P155" s="0" t="n">
        <v>12590</v>
      </c>
    </row>
    <row r="156" customFormat="false" ht="14.25" hidden="false" customHeight="false" outlineLevel="0" collapsed="false">
      <c r="A156" s="0" t="s">
        <v>16</v>
      </c>
      <c r="B156" s="1" t="s">
        <v>17</v>
      </c>
      <c r="C156" s="2" t="s">
        <v>327</v>
      </c>
      <c r="D156" s="1" t="s">
        <v>328</v>
      </c>
      <c r="E156" s="0" t="n">
        <v>3160</v>
      </c>
      <c r="F156" s="0" t="n">
        <v>4930</v>
      </c>
      <c r="G156" s="0" t="n">
        <v>9700</v>
      </c>
      <c r="H156" s="0" t="n">
        <v>10090</v>
      </c>
      <c r="I156" s="0" t="n">
        <v>10710</v>
      </c>
      <c r="J156" s="0" t="n">
        <v>10990</v>
      </c>
      <c r="K156" s="0" t="n">
        <v>11180</v>
      </c>
      <c r="L156" s="0" t="n">
        <v>11520</v>
      </c>
      <c r="M156" s="0" t="n">
        <v>11930</v>
      </c>
      <c r="N156" s="0" t="n">
        <v>12430</v>
      </c>
      <c r="O156" s="0" t="n">
        <v>12820</v>
      </c>
      <c r="P156" s="0" t="n">
        <v>11490</v>
      </c>
    </row>
    <row r="157" customFormat="false" ht="14.25" hidden="false" customHeight="false" outlineLevel="0" collapsed="false">
      <c r="A157" s="0" t="s">
        <v>16</v>
      </c>
      <c r="B157" s="1" t="s">
        <v>17</v>
      </c>
      <c r="C157" s="2" t="s">
        <v>329</v>
      </c>
      <c r="D157" s="1" t="s">
        <v>330</v>
      </c>
      <c r="E157" s="0" t="n">
        <v>2620</v>
      </c>
      <c r="F157" s="0" t="n">
        <v>3760</v>
      </c>
      <c r="G157" s="0" t="n">
        <v>6500</v>
      </c>
      <c r="H157" s="0" t="n">
        <v>6990</v>
      </c>
      <c r="I157" s="0" t="n">
        <v>7390</v>
      </c>
      <c r="J157" s="0" t="n">
        <v>7760</v>
      </c>
      <c r="K157" s="0" t="n">
        <v>8010</v>
      </c>
      <c r="L157" s="0" t="n">
        <v>8560</v>
      </c>
      <c r="M157" s="0" t="n">
        <v>9020</v>
      </c>
      <c r="N157" s="0" t="n">
        <v>9650</v>
      </c>
      <c r="O157" s="0" t="n">
        <v>10220</v>
      </c>
      <c r="P157" s="0" t="n">
        <v>9040</v>
      </c>
    </row>
    <row r="158" customFormat="false" ht="14.25" hidden="false" customHeight="false" outlineLevel="0" collapsed="false">
      <c r="A158" s="0" t="s">
        <v>16</v>
      </c>
      <c r="B158" s="1" t="s">
        <v>17</v>
      </c>
      <c r="C158" s="2" t="s">
        <v>331</v>
      </c>
      <c r="D158" s="1" t="s">
        <v>332</v>
      </c>
      <c r="E158" s="0" t="n">
        <v>5850</v>
      </c>
      <c r="F158" s="0" t="n">
        <v>10630</v>
      </c>
      <c r="G158" s="0" t="n">
        <v>22010</v>
      </c>
      <c r="H158" s="0" t="n">
        <v>22860</v>
      </c>
      <c r="I158" s="0" t="n">
        <v>23740</v>
      </c>
      <c r="J158" s="0" t="n">
        <v>24520</v>
      </c>
      <c r="K158" s="0" t="n">
        <v>25880</v>
      </c>
      <c r="L158" s="0" t="n">
        <v>27210</v>
      </c>
      <c r="M158" s="0" t="n">
        <v>28820</v>
      </c>
      <c r="N158" s="0" t="n">
        <v>30650</v>
      </c>
      <c r="O158" s="0" t="n">
        <v>32790</v>
      </c>
      <c r="P158" s="0" t="n">
        <v>33220</v>
      </c>
    </row>
    <row r="159" customFormat="false" ht="14.25" hidden="false" customHeight="false" outlineLevel="0" collapsed="false">
      <c r="A159" s="0" t="s">
        <v>16</v>
      </c>
      <c r="B159" s="1" t="s">
        <v>17</v>
      </c>
      <c r="C159" s="2" t="s">
        <v>333</v>
      </c>
      <c r="D159" s="1" t="s">
        <v>334</v>
      </c>
      <c r="E159" s="0" t="n">
        <v>11740</v>
      </c>
      <c r="F159" s="0" t="n">
        <v>18580</v>
      </c>
      <c r="G159" s="0" t="n">
        <v>26340</v>
      </c>
      <c r="H159" s="0" t="n">
        <v>25810</v>
      </c>
      <c r="I159" s="0" t="n">
        <v>27560</v>
      </c>
      <c r="J159" s="0" t="n">
        <v>28150</v>
      </c>
      <c r="K159" s="0" t="n">
        <v>28870</v>
      </c>
      <c r="L159" s="0" t="n">
        <v>30840</v>
      </c>
      <c r="M159" s="0" t="n">
        <v>32270</v>
      </c>
      <c r="N159" s="0" t="n">
        <v>34080</v>
      </c>
      <c r="O159" s="0" t="n">
        <v>35940</v>
      </c>
      <c r="P159" s="0" t="n">
        <v>33980</v>
      </c>
    </row>
    <row r="160" customFormat="false" ht="14.25" hidden="false" customHeight="false" outlineLevel="0" collapsed="false">
      <c r="A160" s="0" t="s">
        <v>16</v>
      </c>
      <c r="B160" s="1" t="s">
        <v>17</v>
      </c>
      <c r="C160" s="2" t="s">
        <v>335</v>
      </c>
      <c r="D160" s="1" t="s">
        <v>336</v>
      </c>
      <c r="E160" s="0" t="n">
        <v>9480</v>
      </c>
      <c r="F160" s="0" t="n">
        <v>15410</v>
      </c>
      <c r="G160" s="0" t="n">
        <v>20840</v>
      </c>
      <c r="H160" s="0" t="n">
        <v>21840</v>
      </c>
      <c r="I160" s="0" t="n">
        <v>22320</v>
      </c>
      <c r="J160" s="0" t="n">
        <v>22620</v>
      </c>
      <c r="K160" s="0" t="n">
        <v>22900</v>
      </c>
      <c r="L160" s="0" t="n">
        <v>23040</v>
      </c>
      <c r="M160" s="0" t="n">
        <v>22940</v>
      </c>
      <c r="N160" s="0" t="n">
        <v>23570</v>
      </c>
      <c r="O160" s="0" t="n">
        <v>24470</v>
      </c>
      <c r="P160" s="0" t="n">
        <v>24010</v>
      </c>
    </row>
    <row r="161" customFormat="false" ht="14.25" hidden="false" customHeight="false" outlineLevel="0" collapsed="false">
      <c r="A161" s="0" t="s">
        <v>16</v>
      </c>
      <c r="B161" s="1" t="s">
        <v>17</v>
      </c>
      <c r="C161" s="2" t="s">
        <v>337</v>
      </c>
      <c r="D161" s="1" t="s">
        <v>338</v>
      </c>
      <c r="E161" s="2" t="s">
        <v>20</v>
      </c>
      <c r="F161" s="0" t="n">
        <v>89190</v>
      </c>
      <c r="G161" s="0" t="n">
        <v>128340</v>
      </c>
      <c r="H161" s="0" t="n">
        <v>132440</v>
      </c>
      <c r="I161" s="0" t="n">
        <v>131020</v>
      </c>
      <c r="J161" s="0" t="n">
        <v>123250</v>
      </c>
      <c r="K161" s="0" t="n">
        <v>90920</v>
      </c>
      <c r="L161" s="0" t="n">
        <v>82490</v>
      </c>
      <c r="M161" s="0" t="n">
        <v>91500</v>
      </c>
      <c r="N161" s="0" t="n">
        <v>91250</v>
      </c>
      <c r="O161" s="0" t="n">
        <v>91500</v>
      </c>
      <c r="P161" s="0" t="n">
        <v>88070</v>
      </c>
    </row>
    <row r="162" customFormat="false" ht="14.25" hidden="false" customHeight="false" outlineLevel="0" collapsed="false">
      <c r="A162" s="0" t="s">
        <v>16</v>
      </c>
      <c r="B162" s="1" t="s">
        <v>17</v>
      </c>
      <c r="C162" s="2" t="s">
        <v>339</v>
      </c>
      <c r="D162" s="1" t="s">
        <v>340</v>
      </c>
      <c r="E162" s="0" t="n">
        <v>5250</v>
      </c>
      <c r="F162" s="0" t="n">
        <v>5810</v>
      </c>
      <c r="G162" s="0" t="n">
        <v>17670</v>
      </c>
      <c r="H162" s="0" t="n">
        <v>18540</v>
      </c>
      <c r="I162" s="0" t="n">
        <v>19490</v>
      </c>
      <c r="J162" s="0" t="n">
        <v>20560</v>
      </c>
      <c r="K162" s="0" t="n">
        <v>21380</v>
      </c>
      <c r="L162" s="0" t="n">
        <v>23950</v>
      </c>
      <c r="M162" s="0" t="n">
        <v>26760</v>
      </c>
      <c r="N162" s="0" t="n">
        <v>28710</v>
      </c>
      <c r="O162" s="0" t="n">
        <v>31840</v>
      </c>
      <c r="P162" s="0" t="n">
        <v>31410</v>
      </c>
    </row>
    <row r="163" customFormat="false" ht="14.25" hidden="false" customHeight="false" outlineLevel="0" collapsed="false">
      <c r="A163" s="0" t="s">
        <v>16</v>
      </c>
      <c r="B163" s="1" t="s">
        <v>17</v>
      </c>
      <c r="C163" s="2" t="s">
        <v>341</v>
      </c>
      <c r="D163" s="1" t="s">
        <v>342</v>
      </c>
      <c r="E163" s="0" t="n">
        <v>8010</v>
      </c>
      <c r="F163" s="0" t="n">
        <v>6650</v>
      </c>
      <c r="G163" s="0" t="n">
        <v>22130</v>
      </c>
      <c r="H163" s="0" t="n">
        <v>23560</v>
      </c>
      <c r="I163" s="0" t="n">
        <v>25170</v>
      </c>
      <c r="J163" s="0" t="n">
        <v>24910</v>
      </c>
      <c r="K163" s="0" t="n">
        <v>23420</v>
      </c>
      <c r="L163" s="0" t="n">
        <v>23460</v>
      </c>
      <c r="M163" s="0" t="n">
        <v>25230</v>
      </c>
      <c r="N163" s="0" t="n">
        <v>27980</v>
      </c>
      <c r="O163" s="0" t="n">
        <v>28260</v>
      </c>
      <c r="P163" s="0" t="n">
        <v>27550</v>
      </c>
    </row>
    <row r="164" customFormat="false" ht="14.25" hidden="false" customHeight="false" outlineLevel="0" collapsed="false">
      <c r="A164" s="0" t="s">
        <v>16</v>
      </c>
      <c r="B164" s="1" t="s">
        <v>17</v>
      </c>
      <c r="C164" s="2" t="s">
        <v>343</v>
      </c>
      <c r="D164" s="1" t="s">
        <v>344</v>
      </c>
      <c r="E164" s="0" t="n">
        <v>550</v>
      </c>
      <c r="F164" s="0" t="n">
        <v>630</v>
      </c>
      <c r="G164" s="0" t="n">
        <v>1440</v>
      </c>
      <c r="H164" s="0" t="n">
        <v>1470</v>
      </c>
      <c r="I164" s="0" t="n">
        <v>1520</v>
      </c>
      <c r="J164" s="0" t="n">
        <v>1670</v>
      </c>
      <c r="K164" s="0" t="n">
        <v>1770</v>
      </c>
      <c r="L164" s="0" t="n">
        <v>1830</v>
      </c>
      <c r="M164" s="0" t="n">
        <v>1910</v>
      </c>
      <c r="N164" s="0" t="n">
        <v>2060</v>
      </c>
      <c r="O164" s="0" t="n">
        <v>2240</v>
      </c>
      <c r="P164" s="0" t="n">
        <v>2160</v>
      </c>
    </row>
    <row r="165" customFormat="false" ht="14.25" hidden="false" customHeight="false" outlineLevel="0" collapsed="false">
      <c r="A165" s="0" t="s">
        <v>16</v>
      </c>
      <c r="B165" s="1" t="s">
        <v>17</v>
      </c>
      <c r="C165" s="2" t="s">
        <v>345</v>
      </c>
      <c r="D165" s="1" t="s">
        <v>346</v>
      </c>
      <c r="E165" s="0" t="n">
        <v>1690</v>
      </c>
      <c r="F165" s="2" t="s">
        <v>20</v>
      </c>
      <c r="G165" s="0" t="n">
        <v>5440</v>
      </c>
      <c r="H165" s="0" t="n">
        <v>5290</v>
      </c>
      <c r="I165" s="0" t="n">
        <v>5310</v>
      </c>
      <c r="J165" s="0" t="n">
        <v>5350</v>
      </c>
      <c r="K165" s="0" t="n">
        <v>5700</v>
      </c>
      <c r="L165" s="0" t="n">
        <v>6180</v>
      </c>
      <c r="M165" s="0" t="n">
        <v>6270</v>
      </c>
      <c r="N165" s="0" t="n">
        <v>6230</v>
      </c>
      <c r="O165" s="0" t="n">
        <v>6480</v>
      </c>
      <c r="P165" s="2" t="s">
        <v>20</v>
      </c>
    </row>
    <row r="166" customFormat="false" ht="14.25" hidden="false" customHeight="false" outlineLevel="0" collapsed="false">
      <c r="A166" s="0" t="s">
        <v>16</v>
      </c>
      <c r="B166" s="1" t="s">
        <v>17</v>
      </c>
      <c r="C166" s="2" t="s">
        <v>347</v>
      </c>
      <c r="D166" s="1" t="s">
        <v>348</v>
      </c>
      <c r="E166" s="2" t="s">
        <v>20</v>
      </c>
      <c r="F166" s="2" t="s">
        <v>20</v>
      </c>
      <c r="G166" s="2" t="s">
        <v>20</v>
      </c>
      <c r="H166" s="2" t="s">
        <v>20</v>
      </c>
      <c r="I166" s="2" t="s">
        <v>20</v>
      </c>
      <c r="J166" s="2" t="s">
        <v>20</v>
      </c>
      <c r="K166" s="2" t="s">
        <v>20</v>
      </c>
      <c r="L166" s="2" t="s">
        <v>20</v>
      </c>
      <c r="M166" s="2" t="s">
        <v>20</v>
      </c>
      <c r="N166" s="2" t="s">
        <v>20</v>
      </c>
      <c r="O166" s="2" t="s">
        <v>20</v>
      </c>
      <c r="P166" s="2" t="s">
        <v>20</v>
      </c>
    </row>
    <row r="167" customFormat="false" ht="14.25" hidden="false" customHeight="false" outlineLevel="0" collapsed="false">
      <c r="A167" s="0" t="s">
        <v>16</v>
      </c>
      <c r="B167" s="1" t="s">
        <v>17</v>
      </c>
      <c r="C167" s="2" t="s">
        <v>349</v>
      </c>
      <c r="D167" s="1" t="s">
        <v>350</v>
      </c>
      <c r="E167" s="2" t="s">
        <v>20</v>
      </c>
      <c r="F167" s="2" t="s">
        <v>20</v>
      </c>
      <c r="G167" s="0" t="n">
        <v>3010</v>
      </c>
      <c r="H167" s="0" t="n">
        <v>2900</v>
      </c>
      <c r="I167" s="0" t="n">
        <v>3350</v>
      </c>
      <c r="J167" s="0" t="n">
        <v>3880</v>
      </c>
      <c r="K167" s="0" t="n">
        <v>3820</v>
      </c>
      <c r="L167" s="0" t="n">
        <v>3900</v>
      </c>
      <c r="M167" s="0" t="n">
        <v>3940</v>
      </c>
      <c r="N167" s="0" t="n">
        <v>4090</v>
      </c>
      <c r="O167" s="0" t="n">
        <v>4160</v>
      </c>
      <c r="P167" s="0" t="n">
        <v>4260</v>
      </c>
    </row>
    <row r="168" customFormat="false" ht="14.25" hidden="false" customHeight="false" outlineLevel="0" collapsed="false">
      <c r="A168" s="0" t="s">
        <v>16</v>
      </c>
      <c r="B168" s="1" t="s">
        <v>17</v>
      </c>
      <c r="C168" s="2" t="s">
        <v>351</v>
      </c>
      <c r="D168" s="1" t="s">
        <v>352</v>
      </c>
      <c r="E168" s="0" t="n">
        <v>33310</v>
      </c>
      <c r="F168" s="0" t="n">
        <v>40070</v>
      </c>
      <c r="G168" s="0" t="n">
        <v>56940</v>
      </c>
      <c r="H168" s="0" t="n">
        <v>58220</v>
      </c>
      <c r="I168" s="0" t="n">
        <v>56920</v>
      </c>
      <c r="J168" s="0" t="n">
        <v>56940</v>
      </c>
      <c r="K168" s="0" t="n">
        <v>49900</v>
      </c>
      <c r="L168" s="0" t="n">
        <v>46590</v>
      </c>
      <c r="M168" s="0" t="n">
        <v>48040</v>
      </c>
      <c r="N168" s="0" t="n">
        <v>49210</v>
      </c>
      <c r="O168" s="0" t="n">
        <v>49440</v>
      </c>
      <c r="P168" s="0" t="n">
        <v>47790</v>
      </c>
    </row>
    <row r="169" customFormat="false" ht="14.25" hidden="false" customHeight="false" outlineLevel="0" collapsed="false">
      <c r="A169" s="0" t="s">
        <v>16</v>
      </c>
      <c r="B169" s="1" t="s">
        <v>17</v>
      </c>
      <c r="C169" s="2" t="s">
        <v>353</v>
      </c>
      <c r="D169" s="1" t="s">
        <v>354</v>
      </c>
      <c r="E169" s="0" t="n">
        <v>1510</v>
      </c>
      <c r="F169" s="0" t="n">
        <v>1970</v>
      </c>
      <c r="G169" s="0" t="n">
        <v>2630</v>
      </c>
      <c r="H169" s="0" t="n">
        <v>2690</v>
      </c>
      <c r="I169" s="0" t="n">
        <v>2700</v>
      </c>
      <c r="J169" s="0" t="n">
        <v>2780</v>
      </c>
      <c r="K169" s="0" t="n">
        <v>2910</v>
      </c>
      <c r="L169" s="0" t="n">
        <v>3000</v>
      </c>
      <c r="M169" s="0" t="n">
        <v>3110</v>
      </c>
      <c r="N169" s="0" t="n">
        <v>3300</v>
      </c>
      <c r="O169" s="0" t="n">
        <v>3410</v>
      </c>
      <c r="P169" s="0" t="n">
        <v>3400</v>
      </c>
    </row>
    <row r="170" customFormat="false" ht="14.25" hidden="false" customHeight="false" outlineLevel="0" collapsed="false">
      <c r="A170" s="0" t="s">
        <v>16</v>
      </c>
      <c r="B170" s="1" t="s">
        <v>17</v>
      </c>
      <c r="C170" s="2" t="s">
        <v>355</v>
      </c>
      <c r="D170" s="1" t="s">
        <v>356</v>
      </c>
      <c r="E170" s="2" t="s">
        <v>20</v>
      </c>
      <c r="F170" s="0" t="n">
        <v>6020</v>
      </c>
      <c r="G170" s="0" t="n">
        <v>13220</v>
      </c>
      <c r="H170" s="0" t="n">
        <v>13480</v>
      </c>
      <c r="I170" s="0" t="n">
        <v>14060</v>
      </c>
      <c r="J170" s="0" t="n">
        <v>14100</v>
      </c>
      <c r="K170" s="0" t="n">
        <v>14240</v>
      </c>
      <c r="L170" s="0" t="n">
        <v>14990</v>
      </c>
      <c r="M170" s="0" t="n">
        <v>15540</v>
      </c>
      <c r="N170" s="0" t="n">
        <v>16830</v>
      </c>
      <c r="O170" s="0" t="n">
        <v>17910</v>
      </c>
      <c r="P170" s="0" t="n">
        <v>18650</v>
      </c>
    </row>
    <row r="171" customFormat="false" ht="14.25" hidden="false" customHeight="false" outlineLevel="0" collapsed="false">
      <c r="A171" s="0" t="s">
        <v>16</v>
      </c>
      <c r="B171" s="1" t="s">
        <v>17</v>
      </c>
      <c r="C171" s="2" t="s">
        <v>357</v>
      </c>
      <c r="D171" s="1" t="s">
        <v>358</v>
      </c>
      <c r="E171" s="0" t="n">
        <v>8650</v>
      </c>
      <c r="F171" s="0" t="n">
        <v>13540</v>
      </c>
      <c r="G171" s="0" t="n">
        <v>19500</v>
      </c>
      <c r="H171" s="0" t="n">
        <v>20350</v>
      </c>
      <c r="I171" s="0" t="n">
        <v>21200</v>
      </c>
      <c r="J171" s="0" t="n">
        <v>22430</v>
      </c>
      <c r="K171" s="0" t="n">
        <v>22610</v>
      </c>
      <c r="L171" s="0" t="n">
        <v>23720</v>
      </c>
      <c r="M171" s="0" t="n">
        <v>25220</v>
      </c>
      <c r="N171" s="0" t="n">
        <v>26680</v>
      </c>
      <c r="O171" s="0" t="n">
        <v>27630</v>
      </c>
      <c r="P171" s="0" t="n">
        <v>24310</v>
      </c>
    </row>
    <row r="172" customFormat="false" ht="14.25" hidden="false" customHeight="false" outlineLevel="0" collapsed="false">
      <c r="A172" s="0" t="s">
        <v>16</v>
      </c>
      <c r="B172" s="1" t="s">
        <v>17</v>
      </c>
      <c r="C172" s="2" t="s">
        <v>359</v>
      </c>
      <c r="D172" s="1" t="s">
        <v>360</v>
      </c>
      <c r="E172" s="0" t="n">
        <v>690</v>
      </c>
      <c r="F172" s="0" t="n">
        <v>670</v>
      </c>
      <c r="G172" s="0" t="n">
        <v>1190</v>
      </c>
      <c r="H172" s="0" t="n">
        <v>1450</v>
      </c>
      <c r="I172" s="0" t="n">
        <v>1740</v>
      </c>
      <c r="J172" s="0" t="n">
        <v>1750</v>
      </c>
      <c r="K172" s="0" t="n">
        <v>1570</v>
      </c>
      <c r="L172" s="0" t="n">
        <v>1420</v>
      </c>
      <c r="M172" s="0" t="n">
        <v>1590</v>
      </c>
      <c r="N172" s="0" t="n">
        <v>1580</v>
      </c>
      <c r="O172" s="0" t="n">
        <v>1770</v>
      </c>
      <c r="P172" s="0" t="n">
        <v>1670</v>
      </c>
    </row>
    <row r="173" customFormat="false" ht="14.25" hidden="false" customHeight="false" outlineLevel="0" collapsed="false">
      <c r="A173" s="0" t="s">
        <v>16</v>
      </c>
      <c r="B173" s="1" t="s">
        <v>17</v>
      </c>
      <c r="C173" s="2" t="s">
        <v>361</v>
      </c>
      <c r="D173" s="1" t="s">
        <v>362</v>
      </c>
      <c r="E173" s="0" t="n">
        <v>23600</v>
      </c>
      <c r="F173" s="0" t="n">
        <v>43570</v>
      </c>
      <c r="G173" s="0" t="n">
        <v>77300</v>
      </c>
      <c r="H173" s="0" t="n">
        <v>78420</v>
      </c>
      <c r="I173" s="0" t="n">
        <v>78530</v>
      </c>
      <c r="J173" s="0" t="n">
        <v>81490</v>
      </c>
      <c r="K173" s="0" t="n">
        <v>81040</v>
      </c>
      <c r="L173" s="0" t="n">
        <v>83760</v>
      </c>
      <c r="M173" s="0" t="n">
        <v>88090</v>
      </c>
      <c r="N173" s="0" t="n">
        <v>88930</v>
      </c>
      <c r="O173" s="0" t="n">
        <v>90320</v>
      </c>
      <c r="P173" s="0" t="n">
        <v>86480</v>
      </c>
    </row>
    <row r="174" customFormat="false" ht="14.25" hidden="false" customHeight="false" outlineLevel="0" collapsed="false">
      <c r="A174" s="0" t="s">
        <v>16</v>
      </c>
      <c r="B174" s="1" t="s">
        <v>17</v>
      </c>
      <c r="C174" s="2" t="s">
        <v>363</v>
      </c>
      <c r="D174" s="1" t="s">
        <v>364</v>
      </c>
      <c r="E174" s="2" t="s">
        <v>20</v>
      </c>
      <c r="F174" s="2" t="s">
        <v>20</v>
      </c>
      <c r="G174" s="0" t="n">
        <v>36500</v>
      </c>
      <c r="H174" s="0" t="n">
        <v>32540</v>
      </c>
      <c r="I174" s="0" t="n">
        <v>32590</v>
      </c>
      <c r="J174" s="0" t="n">
        <v>38380</v>
      </c>
      <c r="K174" s="0" t="n">
        <v>37920</v>
      </c>
      <c r="L174" s="0" t="n">
        <v>38220</v>
      </c>
      <c r="M174" s="0" t="n">
        <v>37080</v>
      </c>
      <c r="N174" s="0" t="n">
        <v>35390</v>
      </c>
      <c r="O174" s="2" t="s">
        <v>20</v>
      </c>
      <c r="P174" s="2" t="s">
        <v>20</v>
      </c>
    </row>
    <row r="175" customFormat="false" ht="14.25" hidden="false" customHeight="false" outlineLevel="0" collapsed="false">
      <c r="A175" s="0" t="s">
        <v>16</v>
      </c>
      <c r="B175" s="1" t="s">
        <v>17</v>
      </c>
      <c r="C175" s="2" t="s">
        <v>365</v>
      </c>
      <c r="D175" s="1" t="s">
        <v>366</v>
      </c>
      <c r="E175" s="2" t="s">
        <v>20</v>
      </c>
      <c r="F175" s="0" t="n">
        <v>11340</v>
      </c>
      <c r="G175" s="0" t="n">
        <v>25180</v>
      </c>
      <c r="H175" s="0" t="n">
        <v>26510</v>
      </c>
      <c r="I175" s="0" t="n">
        <v>27790</v>
      </c>
      <c r="J175" s="0" t="n">
        <v>28670</v>
      </c>
      <c r="K175" s="0" t="n">
        <v>29200</v>
      </c>
      <c r="L175" s="0" t="n">
        <v>28890</v>
      </c>
      <c r="M175" s="0" t="n">
        <v>29510</v>
      </c>
      <c r="N175" s="0" t="n">
        <v>31070</v>
      </c>
      <c r="O175" s="0" t="n">
        <v>31980</v>
      </c>
      <c r="P175" s="0" t="n">
        <v>31290</v>
      </c>
    </row>
    <row r="176" customFormat="false" ht="14.25" hidden="false" customHeight="false" outlineLevel="0" collapsed="false">
      <c r="A176" s="0" t="s">
        <v>16</v>
      </c>
      <c r="B176" s="1" t="s">
        <v>17</v>
      </c>
      <c r="C176" s="2" t="s">
        <v>367</v>
      </c>
      <c r="D176" s="1" t="s">
        <v>368</v>
      </c>
      <c r="E176" s="2" t="s">
        <v>20</v>
      </c>
      <c r="F176" s="0" t="n">
        <v>17970</v>
      </c>
      <c r="G176" s="0" t="n">
        <v>28540</v>
      </c>
      <c r="H176" s="0" t="n">
        <v>28590</v>
      </c>
      <c r="I176" s="0" t="n">
        <v>29570</v>
      </c>
      <c r="J176" s="0" t="n">
        <v>30590</v>
      </c>
      <c r="K176" s="0" t="n">
        <v>30650</v>
      </c>
      <c r="L176" s="0" t="n">
        <v>33080</v>
      </c>
      <c r="M176" s="0" t="n">
        <v>35850</v>
      </c>
      <c r="N176" s="0" t="n">
        <v>38290</v>
      </c>
      <c r="O176" s="0" t="n">
        <v>40530</v>
      </c>
      <c r="P176" s="2" t="s">
        <v>20</v>
      </c>
    </row>
    <row r="177" customFormat="false" ht="14.25" hidden="false" customHeight="false" outlineLevel="0" collapsed="false">
      <c r="A177" s="0" t="s">
        <v>16</v>
      </c>
      <c r="B177" s="1" t="s">
        <v>17</v>
      </c>
      <c r="C177" s="2" t="s">
        <v>369</v>
      </c>
      <c r="D177" s="1" t="s">
        <v>370</v>
      </c>
      <c r="E177" s="0" t="n">
        <v>1340</v>
      </c>
      <c r="F177" s="0" t="n">
        <v>1620</v>
      </c>
      <c r="G177" s="0" t="n">
        <v>2160</v>
      </c>
      <c r="H177" s="0" t="n">
        <v>2240</v>
      </c>
      <c r="I177" s="0" t="n">
        <v>2460</v>
      </c>
      <c r="J177" s="0" t="n">
        <v>2430</v>
      </c>
      <c r="K177" s="0" t="n">
        <v>2400</v>
      </c>
      <c r="L177" s="0" t="n">
        <v>2470</v>
      </c>
      <c r="M177" s="0" t="n">
        <v>2610</v>
      </c>
      <c r="N177" s="0" t="n">
        <v>2730</v>
      </c>
      <c r="O177" s="0" t="n">
        <v>2740</v>
      </c>
      <c r="P177" s="0" t="n">
        <v>2680</v>
      </c>
    </row>
    <row r="178" customFormat="false" ht="14.25" hidden="false" customHeight="false" outlineLevel="0" collapsed="false">
      <c r="A178" s="0" t="s">
        <v>16</v>
      </c>
      <c r="B178" s="1" t="s">
        <v>17</v>
      </c>
      <c r="C178" s="2" t="s">
        <v>371</v>
      </c>
      <c r="D178" s="1" t="s">
        <v>372</v>
      </c>
      <c r="E178" s="2" t="s">
        <v>20</v>
      </c>
      <c r="F178" s="2" t="s">
        <v>20</v>
      </c>
      <c r="G178" s="2" t="s">
        <v>20</v>
      </c>
      <c r="H178" s="2" t="s">
        <v>20</v>
      </c>
      <c r="I178" s="0" t="n">
        <v>680</v>
      </c>
      <c r="J178" s="0" t="n">
        <v>730</v>
      </c>
      <c r="K178" s="0" t="n">
        <v>820</v>
      </c>
      <c r="L178" s="0" t="n">
        <v>860</v>
      </c>
      <c r="M178" s="0" t="n">
        <v>860</v>
      </c>
      <c r="N178" s="0" t="n">
        <v>880</v>
      </c>
      <c r="O178" s="0" t="n">
        <v>900</v>
      </c>
      <c r="P178" s="0" t="n">
        <v>870</v>
      </c>
    </row>
    <row r="179" customFormat="false" ht="14.25" hidden="false" customHeight="false" outlineLevel="0" collapsed="false">
      <c r="A179" s="0" t="s">
        <v>16</v>
      </c>
      <c r="B179" s="1" t="s">
        <v>17</v>
      </c>
      <c r="C179" s="2" t="s">
        <v>373</v>
      </c>
      <c r="D179" s="1" t="s">
        <v>374</v>
      </c>
      <c r="E179" s="0" t="n">
        <v>6180</v>
      </c>
      <c r="F179" s="0" t="n">
        <v>7540</v>
      </c>
      <c r="G179" s="0" t="n">
        <v>11860</v>
      </c>
      <c r="H179" s="0" t="n">
        <v>11730</v>
      </c>
      <c r="I179" s="0" t="n">
        <v>12120</v>
      </c>
      <c r="J179" s="0" t="n">
        <v>12190</v>
      </c>
      <c r="K179" s="0" t="n">
        <v>12240</v>
      </c>
      <c r="L179" s="0" t="n">
        <v>12240</v>
      </c>
      <c r="M179" s="0" t="n">
        <v>12320</v>
      </c>
      <c r="N179" s="0" t="n">
        <v>12520</v>
      </c>
      <c r="O179" s="0" t="n">
        <v>12640</v>
      </c>
      <c r="P179" s="0" t="n">
        <v>11870</v>
      </c>
    </row>
    <row r="180" customFormat="false" ht="14.25" hidden="false" customHeight="false" outlineLevel="0" collapsed="false">
      <c r="A180" s="0" t="s">
        <v>16</v>
      </c>
      <c r="B180" s="1" t="s">
        <v>17</v>
      </c>
      <c r="C180" s="2" t="s">
        <v>375</v>
      </c>
      <c r="D180" s="1" t="s">
        <v>376</v>
      </c>
      <c r="E180" s="2" t="s">
        <v>20</v>
      </c>
      <c r="F180" s="2" t="s">
        <v>20</v>
      </c>
      <c r="G180" s="0" t="n">
        <v>1630</v>
      </c>
      <c r="H180" s="0" t="n">
        <v>1460</v>
      </c>
      <c r="I180" s="0" t="n">
        <v>1980</v>
      </c>
      <c r="J180" s="0" t="n">
        <v>1280</v>
      </c>
      <c r="K180" s="0" t="n">
        <v>1080</v>
      </c>
      <c r="L180" s="2" t="s">
        <v>20</v>
      </c>
      <c r="M180" s="2" t="s">
        <v>20</v>
      </c>
      <c r="N180" s="2" t="s">
        <v>20</v>
      </c>
      <c r="O180" s="2" t="s">
        <v>20</v>
      </c>
      <c r="P180" s="2" t="s">
        <v>20</v>
      </c>
    </row>
    <row r="181" customFormat="false" ht="14.25" hidden="false" customHeight="false" outlineLevel="0" collapsed="false">
      <c r="A181" s="0" t="s">
        <v>16</v>
      </c>
      <c r="B181" s="1" t="s">
        <v>17</v>
      </c>
      <c r="C181" s="2" t="s">
        <v>377</v>
      </c>
      <c r="D181" s="1" t="s">
        <v>378</v>
      </c>
      <c r="E181" s="0" t="n">
        <v>13500</v>
      </c>
      <c r="F181" s="0" t="n">
        <v>21440</v>
      </c>
      <c r="G181" s="0" t="n">
        <v>31310</v>
      </c>
      <c r="H181" s="0" t="n">
        <v>31470</v>
      </c>
      <c r="I181" s="0" t="n">
        <v>32220</v>
      </c>
      <c r="J181" s="0" t="n">
        <v>33400</v>
      </c>
      <c r="K181" s="0" t="n">
        <v>34900</v>
      </c>
      <c r="L181" s="0" t="n">
        <v>37380</v>
      </c>
      <c r="M181" s="0" t="n">
        <v>39540</v>
      </c>
      <c r="N181" s="0" t="n">
        <v>40790</v>
      </c>
      <c r="O181" s="0" t="n">
        <v>42250</v>
      </c>
      <c r="P181" s="2" t="s">
        <v>20</v>
      </c>
    </row>
    <row r="182" customFormat="false" ht="14.25" hidden="false" customHeight="false" outlineLevel="0" collapsed="false">
      <c r="A182" s="0" t="s">
        <v>16</v>
      </c>
      <c r="B182" s="1" t="s">
        <v>17</v>
      </c>
      <c r="C182" s="2" t="s">
        <v>379</v>
      </c>
      <c r="D182" s="1" t="s">
        <v>380</v>
      </c>
      <c r="E182" s="0" t="n">
        <v>2290</v>
      </c>
      <c r="F182" s="0" t="n">
        <v>4270</v>
      </c>
      <c r="G182" s="0" t="n">
        <v>8920</v>
      </c>
      <c r="H182" s="0" t="n">
        <v>10130</v>
      </c>
      <c r="I182" s="0" t="n">
        <v>10600</v>
      </c>
      <c r="J182" s="0" t="n">
        <v>11000</v>
      </c>
      <c r="K182" s="0" t="n">
        <v>11270</v>
      </c>
      <c r="L182" s="0" t="n">
        <v>11900</v>
      </c>
      <c r="M182" s="0" t="n">
        <v>12250</v>
      </c>
      <c r="N182" s="0" t="n">
        <v>12810</v>
      </c>
      <c r="O182" s="0" t="n">
        <v>13230</v>
      </c>
      <c r="P182" s="0" t="n">
        <v>12870</v>
      </c>
    </row>
    <row r="183" customFormat="false" ht="14.25" hidden="false" customHeight="false" outlineLevel="0" collapsed="false">
      <c r="A183" s="0" t="s">
        <v>16</v>
      </c>
      <c r="B183" s="1" t="s">
        <v>17</v>
      </c>
      <c r="C183" s="2" t="s">
        <v>381</v>
      </c>
      <c r="D183" s="1" t="s">
        <v>382</v>
      </c>
      <c r="E183" s="0" t="n">
        <v>9150</v>
      </c>
      <c r="F183" s="0" t="n">
        <v>15080</v>
      </c>
      <c r="G183" s="0" t="n">
        <v>21950</v>
      </c>
      <c r="H183" s="0" t="n">
        <v>20850</v>
      </c>
      <c r="I183" s="0" t="n">
        <v>21770</v>
      </c>
      <c r="J183" s="0" t="n">
        <v>22180</v>
      </c>
      <c r="K183" s="0" t="n">
        <v>22240</v>
      </c>
      <c r="L183" s="0" t="n">
        <v>23420</v>
      </c>
      <c r="M183" s="0" t="n">
        <v>24120</v>
      </c>
      <c r="N183" s="0" t="n">
        <v>25300</v>
      </c>
      <c r="O183" s="0" t="n">
        <v>26090</v>
      </c>
      <c r="P183" s="0" t="n">
        <v>24190</v>
      </c>
    </row>
    <row r="184" customFormat="false" ht="14.25" hidden="false" customHeight="false" outlineLevel="0" collapsed="false">
      <c r="A184" s="0" t="s">
        <v>16</v>
      </c>
      <c r="B184" s="1" t="s">
        <v>17</v>
      </c>
      <c r="C184" s="2" t="s">
        <v>383</v>
      </c>
      <c r="D184" s="1" t="s">
        <v>384</v>
      </c>
      <c r="E184" s="0" t="n">
        <v>6130</v>
      </c>
      <c r="F184" s="0" t="n">
        <v>8330</v>
      </c>
      <c r="G184" s="0" t="n">
        <v>13090</v>
      </c>
      <c r="H184" s="0" t="n">
        <v>12770</v>
      </c>
      <c r="I184" s="0" t="n">
        <v>13180</v>
      </c>
      <c r="J184" s="0" t="n">
        <v>12920</v>
      </c>
      <c r="K184" s="0" t="n">
        <v>12410</v>
      </c>
      <c r="L184" s="0" t="n">
        <v>13420</v>
      </c>
      <c r="M184" s="0" t="n">
        <v>14150</v>
      </c>
      <c r="N184" s="0" t="n">
        <v>14780</v>
      </c>
      <c r="O184" s="0" t="n">
        <v>15230</v>
      </c>
      <c r="P184" s="0" t="n">
        <v>12200</v>
      </c>
    </row>
    <row r="185" customFormat="false" ht="14.25" hidden="false" customHeight="false" outlineLevel="0" collapsed="false">
      <c r="A185" s="0" t="s">
        <v>16</v>
      </c>
      <c r="B185" s="1" t="s">
        <v>17</v>
      </c>
      <c r="C185" s="2" t="s">
        <v>385</v>
      </c>
      <c r="D185" s="1" t="s">
        <v>386</v>
      </c>
      <c r="E185" s="2" t="s">
        <v>20</v>
      </c>
      <c r="F185" s="2" t="s">
        <v>20</v>
      </c>
      <c r="G185" s="2" t="s">
        <v>20</v>
      </c>
      <c r="H185" s="2" t="s">
        <v>20</v>
      </c>
      <c r="I185" s="2" t="s">
        <v>20</v>
      </c>
      <c r="J185" s="2" t="s">
        <v>20</v>
      </c>
      <c r="K185" s="2" t="s">
        <v>20</v>
      </c>
      <c r="L185" s="2" t="s">
        <v>20</v>
      </c>
      <c r="M185" s="2" t="s">
        <v>20</v>
      </c>
      <c r="N185" s="2" t="s">
        <v>20</v>
      </c>
      <c r="O185" s="2" t="s">
        <v>20</v>
      </c>
      <c r="P185" s="2" t="s">
        <v>20</v>
      </c>
    </row>
    <row r="186" customFormat="false" ht="14.25" hidden="false" customHeight="false" outlineLevel="0" collapsed="false">
      <c r="A186" s="0" t="s">
        <v>16</v>
      </c>
      <c r="B186" s="1" t="s">
        <v>17</v>
      </c>
      <c r="C186" s="2" t="s">
        <v>387</v>
      </c>
      <c r="D186" s="1" t="s">
        <v>388</v>
      </c>
      <c r="E186" s="0" t="n">
        <v>3670</v>
      </c>
      <c r="F186" s="0" t="n">
        <v>5920</v>
      </c>
      <c r="G186" s="0" t="n">
        <v>10110</v>
      </c>
      <c r="H186" s="0" t="n">
        <v>10400</v>
      </c>
      <c r="I186" s="0" t="n">
        <v>10850</v>
      </c>
      <c r="J186" s="0" t="n">
        <v>10850</v>
      </c>
      <c r="K186" s="0" t="n">
        <v>11360</v>
      </c>
      <c r="L186" s="0" t="n">
        <v>12370</v>
      </c>
      <c r="M186" s="0" t="n">
        <v>12190</v>
      </c>
      <c r="N186" s="0" t="n">
        <v>12740</v>
      </c>
      <c r="O186" s="0" t="n">
        <v>12910</v>
      </c>
      <c r="P186" s="0" t="n">
        <v>12810</v>
      </c>
    </row>
    <row r="187" customFormat="false" ht="14.25" hidden="false" customHeight="false" outlineLevel="0" collapsed="false">
      <c r="A187" s="0" t="s">
        <v>16</v>
      </c>
      <c r="B187" s="1" t="s">
        <v>17</v>
      </c>
      <c r="C187" s="2" t="s">
        <v>389</v>
      </c>
      <c r="D187" s="1" t="s">
        <v>390</v>
      </c>
      <c r="E187" s="0" t="n">
        <v>1040</v>
      </c>
      <c r="F187" s="0" t="n">
        <v>1740</v>
      </c>
      <c r="G187" s="0" t="n">
        <v>3430</v>
      </c>
      <c r="H187" s="0" t="n">
        <v>3590</v>
      </c>
      <c r="I187" s="0" t="n">
        <v>3510</v>
      </c>
      <c r="J187" s="0" t="n">
        <v>4450</v>
      </c>
      <c r="K187" s="0" t="n">
        <v>4320</v>
      </c>
      <c r="L187" s="0" t="n">
        <v>4460</v>
      </c>
      <c r="M187" s="0" t="n">
        <v>4270</v>
      </c>
      <c r="N187" s="0" t="n">
        <v>4360</v>
      </c>
      <c r="O187" s="0" t="n">
        <v>4140</v>
      </c>
      <c r="P187" s="0" t="n">
        <v>3970</v>
      </c>
    </row>
    <row r="188" customFormat="false" ht="14.25" hidden="false" customHeight="false" outlineLevel="0" collapsed="false">
      <c r="A188" s="0" t="s">
        <v>16</v>
      </c>
      <c r="B188" s="1" t="s">
        <v>17</v>
      </c>
      <c r="C188" s="2" t="s">
        <v>391</v>
      </c>
      <c r="D188" s="1" t="s">
        <v>392</v>
      </c>
      <c r="E188" s="0" t="n">
        <v>6600</v>
      </c>
      <c r="F188" s="0" t="n">
        <v>7340</v>
      </c>
      <c r="G188" s="0" t="n">
        <v>13620</v>
      </c>
      <c r="H188" s="0" t="n">
        <v>15170</v>
      </c>
      <c r="I188" s="0" t="n">
        <v>16390</v>
      </c>
      <c r="J188" s="0" t="n">
        <v>17030</v>
      </c>
      <c r="K188" s="0" t="n">
        <v>17170</v>
      </c>
      <c r="L188" s="0" t="n">
        <v>14290</v>
      </c>
      <c r="M188" s="0" t="n">
        <v>16260</v>
      </c>
      <c r="N188" s="0" t="n">
        <v>17560</v>
      </c>
      <c r="O188" s="0" t="n">
        <v>17880</v>
      </c>
      <c r="P188" s="0" t="n">
        <v>15000</v>
      </c>
    </row>
    <row r="189" customFormat="false" ht="14.25" hidden="false" customHeight="false" outlineLevel="0" collapsed="false">
      <c r="A189" s="0" t="s">
        <v>16</v>
      </c>
      <c r="B189" s="1" t="s">
        <v>17</v>
      </c>
      <c r="C189" s="2" t="s">
        <v>393</v>
      </c>
      <c r="D189" s="1" t="s">
        <v>394</v>
      </c>
      <c r="E189" s="0" t="n">
        <v>19880</v>
      </c>
      <c r="F189" s="0" t="n">
        <v>29650</v>
      </c>
      <c r="G189" s="0" t="n">
        <v>45520</v>
      </c>
      <c r="H189" s="0" t="n">
        <v>46470</v>
      </c>
      <c r="I189" s="0" t="n">
        <v>47350</v>
      </c>
      <c r="J189" s="0" t="n">
        <v>48180</v>
      </c>
      <c r="K189" s="0" t="n">
        <v>49500</v>
      </c>
      <c r="L189" s="0" t="n">
        <v>50720</v>
      </c>
      <c r="M189" s="0" t="n">
        <v>52850</v>
      </c>
      <c r="N189" s="0" t="n">
        <v>54570</v>
      </c>
      <c r="O189" s="0" t="n">
        <v>56670</v>
      </c>
      <c r="P189" s="0" t="n">
        <v>56270</v>
      </c>
    </row>
    <row r="190" customFormat="false" ht="14.25" hidden="false" customHeight="false" outlineLevel="0" collapsed="false">
      <c r="A190" s="0" t="s">
        <v>16</v>
      </c>
      <c r="B190" s="1" t="s">
        <v>17</v>
      </c>
      <c r="C190" s="2" t="s">
        <v>395</v>
      </c>
      <c r="D190" s="1" t="s">
        <v>396</v>
      </c>
      <c r="E190" s="2" t="s">
        <v>20</v>
      </c>
      <c r="F190" s="0" t="n">
        <v>39110</v>
      </c>
      <c r="G190" s="0" t="n">
        <v>58510</v>
      </c>
      <c r="H190" s="0" t="n">
        <v>61140</v>
      </c>
      <c r="I190" s="0" t="n">
        <v>63430</v>
      </c>
      <c r="J190" s="0" t="n">
        <v>64210</v>
      </c>
      <c r="K190" s="0" t="n">
        <v>67430</v>
      </c>
      <c r="L190" s="0" t="n">
        <v>68440</v>
      </c>
      <c r="M190" s="0" t="n">
        <v>67870</v>
      </c>
      <c r="N190" s="0" t="n">
        <v>70230</v>
      </c>
      <c r="O190" s="0" t="n">
        <v>73620</v>
      </c>
      <c r="P190" s="2" t="s">
        <v>20</v>
      </c>
    </row>
    <row r="191" customFormat="false" ht="14.25" hidden="false" customHeight="false" outlineLevel="0" collapsed="false">
      <c r="A191" s="0" t="s">
        <v>16</v>
      </c>
      <c r="B191" s="1" t="s">
        <v>17</v>
      </c>
      <c r="C191" s="2" t="s">
        <v>397</v>
      </c>
      <c r="D191" s="1" t="s">
        <v>398</v>
      </c>
      <c r="E191" s="2" t="s">
        <v>20</v>
      </c>
      <c r="F191" s="2" t="s">
        <v>20</v>
      </c>
      <c r="G191" s="2" t="s">
        <v>20</v>
      </c>
      <c r="H191" s="2" t="s">
        <v>20</v>
      </c>
      <c r="I191" s="2" t="s">
        <v>20</v>
      </c>
      <c r="J191" s="2" t="s">
        <v>20</v>
      </c>
      <c r="K191" s="2" t="s">
        <v>20</v>
      </c>
      <c r="L191" s="2" t="s">
        <v>20</v>
      </c>
      <c r="M191" s="2" t="s">
        <v>20</v>
      </c>
      <c r="N191" s="2" t="s">
        <v>20</v>
      </c>
      <c r="O191" s="2" t="s">
        <v>20</v>
      </c>
      <c r="P191" s="2" t="s">
        <v>20</v>
      </c>
    </row>
    <row r="192" customFormat="false" ht="14.25" hidden="false" customHeight="false" outlineLevel="0" collapsed="false">
      <c r="A192" s="0" t="s">
        <v>16</v>
      </c>
      <c r="B192" s="1" t="s">
        <v>17</v>
      </c>
      <c r="C192" s="2" t="s">
        <v>399</v>
      </c>
      <c r="D192" s="1" t="s">
        <v>400</v>
      </c>
      <c r="E192" s="0" t="n">
        <v>2640</v>
      </c>
      <c r="F192" s="0" t="n">
        <v>1000</v>
      </c>
      <c r="G192" s="0" t="n">
        <v>3180</v>
      </c>
      <c r="H192" s="0" t="n">
        <v>3510</v>
      </c>
      <c r="I192" s="0" t="n">
        <v>3980</v>
      </c>
      <c r="J192" s="0" t="n">
        <v>4090</v>
      </c>
      <c r="K192" s="0" t="n">
        <v>3730</v>
      </c>
      <c r="L192" s="0" t="n">
        <v>3600</v>
      </c>
      <c r="M192" s="0" t="n">
        <v>3730</v>
      </c>
      <c r="N192" s="0" t="n">
        <v>4050</v>
      </c>
      <c r="O192" s="0" t="n">
        <v>4330</v>
      </c>
      <c r="P192" s="0" t="n">
        <v>4500</v>
      </c>
    </row>
    <row r="193" customFormat="false" ht="14.25" hidden="false" customHeight="false" outlineLevel="0" collapsed="false">
      <c r="A193" s="0" t="s">
        <v>16</v>
      </c>
      <c r="B193" s="1" t="s">
        <v>17</v>
      </c>
      <c r="C193" s="2" t="s">
        <v>401</v>
      </c>
      <c r="D193" s="1" t="s">
        <v>402</v>
      </c>
      <c r="E193" s="0" t="n">
        <v>930</v>
      </c>
      <c r="F193" s="0" t="n">
        <v>1180</v>
      </c>
      <c r="G193" s="0" t="n">
        <v>2190</v>
      </c>
      <c r="H193" s="0" t="n">
        <v>2070</v>
      </c>
      <c r="I193" s="0" t="n">
        <v>2160</v>
      </c>
      <c r="J193" s="0" t="n">
        <v>2210</v>
      </c>
      <c r="K193" s="0" t="n">
        <v>2300</v>
      </c>
      <c r="L193" s="0" t="n">
        <v>2420</v>
      </c>
      <c r="M193" s="0" t="n">
        <v>2470</v>
      </c>
      <c r="N193" s="0" t="n">
        <v>2620</v>
      </c>
      <c r="O193" s="0" t="n">
        <v>2810</v>
      </c>
      <c r="P193" s="0" t="n">
        <v>2760</v>
      </c>
    </row>
    <row r="194" customFormat="false" ht="14.25" hidden="false" customHeight="false" outlineLevel="0" collapsed="false">
      <c r="A194" s="0" t="s">
        <v>16</v>
      </c>
      <c r="B194" s="1" t="s">
        <v>17</v>
      </c>
      <c r="C194" s="2" t="s">
        <v>403</v>
      </c>
      <c r="D194" s="1" t="s">
        <v>404</v>
      </c>
      <c r="E194" s="0" t="n">
        <v>4260</v>
      </c>
      <c r="F194" s="0" t="n">
        <v>7160</v>
      </c>
      <c r="G194" s="0" t="n">
        <v>13190</v>
      </c>
      <c r="H194" s="0" t="n">
        <v>14190</v>
      </c>
      <c r="I194" s="0" t="n">
        <v>14420</v>
      </c>
      <c r="J194" s="0" t="n">
        <v>14680</v>
      </c>
      <c r="K194" s="0" t="n">
        <v>15010</v>
      </c>
      <c r="L194" s="0" t="n">
        <v>15840</v>
      </c>
      <c r="M194" s="0" t="n">
        <v>16640</v>
      </c>
      <c r="N194" s="0" t="n">
        <v>17630</v>
      </c>
      <c r="O194" s="0" t="n">
        <v>18530</v>
      </c>
      <c r="P194" s="0" t="n">
        <v>17730</v>
      </c>
    </row>
    <row r="195" customFormat="false" ht="14.25" hidden="false" customHeight="false" outlineLevel="0" collapsed="false">
      <c r="A195" s="0" t="s">
        <v>16</v>
      </c>
      <c r="B195" s="1" t="s">
        <v>17</v>
      </c>
      <c r="C195" s="2" t="s">
        <v>405</v>
      </c>
      <c r="D195" s="1" t="s">
        <v>406</v>
      </c>
      <c r="E195" s="2" t="s">
        <v>20</v>
      </c>
      <c r="F195" s="0" t="n">
        <v>1780</v>
      </c>
      <c r="G195" s="0" t="n">
        <v>9080</v>
      </c>
      <c r="H195" s="0" t="n">
        <v>8700</v>
      </c>
      <c r="I195" s="0" t="n">
        <v>7390</v>
      </c>
      <c r="J195" s="0" t="n">
        <v>6270</v>
      </c>
      <c r="K195" s="0" t="n">
        <v>5100</v>
      </c>
      <c r="L195" s="0" t="n">
        <v>4230</v>
      </c>
      <c r="M195" s="0" t="n">
        <v>4470</v>
      </c>
      <c r="N195" s="0" t="n">
        <v>4490</v>
      </c>
      <c r="O195" s="0" t="n">
        <v>4960</v>
      </c>
      <c r="P195" s="0" t="n">
        <v>4490</v>
      </c>
    </row>
    <row r="196" customFormat="false" ht="14.25" hidden="false" customHeight="false" outlineLevel="0" collapsed="false">
      <c r="A196" s="0" t="s">
        <v>16</v>
      </c>
      <c r="B196" s="1" t="s">
        <v>17</v>
      </c>
      <c r="C196" s="2" t="s">
        <v>407</v>
      </c>
      <c r="D196" s="1" t="s">
        <v>408</v>
      </c>
      <c r="E196" s="0" t="n">
        <v>820</v>
      </c>
      <c r="F196" s="0" t="n">
        <v>950</v>
      </c>
      <c r="G196" s="0" t="n">
        <v>1280</v>
      </c>
      <c r="H196" s="0" t="n">
        <v>1230</v>
      </c>
      <c r="I196" s="0" t="n">
        <v>1280</v>
      </c>
      <c r="J196" s="0" t="n">
        <v>1340</v>
      </c>
      <c r="K196" s="0" t="n">
        <v>1440</v>
      </c>
      <c r="L196" s="0" t="n">
        <v>1970</v>
      </c>
      <c r="M196" s="0" t="n">
        <v>2010</v>
      </c>
      <c r="N196" s="0" t="n">
        <v>2120</v>
      </c>
      <c r="O196" s="0" t="n">
        <v>2220</v>
      </c>
      <c r="P196" s="0" t="n">
        <v>2230</v>
      </c>
    </row>
    <row r="197" customFormat="false" ht="14.25" hidden="false" customHeight="false" outlineLevel="0" collapsed="false">
      <c r="A197" s="0" t="s">
        <v>16</v>
      </c>
      <c r="B197" s="1" t="s">
        <v>17</v>
      </c>
      <c r="C197" s="2" t="s">
        <v>409</v>
      </c>
      <c r="D197" s="1" t="s">
        <v>410</v>
      </c>
      <c r="E197" s="0" t="n">
        <v>2280</v>
      </c>
      <c r="F197" s="0" t="n">
        <v>3700</v>
      </c>
      <c r="G197" s="0" t="n">
        <v>5190</v>
      </c>
      <c r="H197" s="0" t="n">
        <v>5380</v>
      </c>
      <c r="I197" s="0" t="n">
        <v>5520</v>
      </c>
      <c r="J197" s="0" t="n">
        <v>5680</v>
      </c>
      <c r="K197" s="0" t="n">
        <v>5830</v>
      </c>
      <c r="L197" s="0" t="n">
        <v>6230</v>
      </c>
      <c r="M197" s="0" t="n">
        <v>6720</v>
      </c>
      <c r="N197" s="0" t="n">
        <v>6960</v>
      </c>
      <c r="O197" s="0" t="n">
        <v>6980</v>
      </c>
      <c r="P197" s="2" t="s">
        <v>20</v>
      </c>
    </row>
    <row r="198" customFormat="false" ht="14.25" hidden="false" customHeight="false" outlineLevel="0" collapsed="false">
      <c r="A198" s="0" t="s">
        <v>16</v>
      </c>
      <c r="B198" s="1" t="s">
        <v>17</v>
      </c>
      <c r="C198" s="2" t="s">
        <v>411</v>
      </c>
      <c r="D198" s="1" t="s">
        <v>412</v>
      </c>
      <c r="E198" s="0" t="n">
        <v>6510</v>
      </c>
      <c r="F198" s="0" t="n">
        <v>13430</v>
      </c>
      <c r="G198" s="0" t="n">
        <v>27460</v>
      </c>
      <c r="H198" s="0" t="n">
        <v>27390</v>
      </c>
      <c r="I198" s="0" t="n">
        <v>28330</v>
      </c>
      <c r="J198" s="0" t="n">
        <v>27850</v>
      </c>
      <c r="K198" s="0" t="n">
        <v>26930</v>
      </c>
      <c r="L198" s="0" t="n">
        <v>26030</v>
      </c>
      <c r="M198" s="0" t="n">
        <v>26540</v>
      </c>
      <c r="N198" s="0" t="n">
        <v>26120</v>
      </c>
      <c r="O198" s="0" t="n">
        <v>26720</v>
      </c>
      <c r="P198" s="0" t="n">
        <v>24800</v>
      </c>
    </row>
    <row r="199" customFormat="false" ht="14.25" hidden="false" customHeight="false" outlineLevel="0" collapsed="false">
      <c r="A199" s="0" t="s">
        <v>16</v>
      </c>
      <c r="B199" s="1" t="s">
        <v>17</v>
      </c>
      <c r="C199" s="2" t="s">
        <v>413</v>
      </c>
      <c r="D199" s="1" t="s">
        <v>414</v>
      </c>
      <c r="E199" s="0" t="n">
        <v>3500</v>
      </c>
      <c r="F199" s="0" t="n">
        <v>5720</v>
      </c>
      <c r="G199" s="0" t="n">
        <v>9590</v>
      </c>
      <c r="H199" s="0" t="n">
        <v>9790</v>
      </c>
      <c r="I199" s="0" t="n">
        <v>9780</v>
      </c>
      <c r="J199" s="0" t="n">
        <v>10070</v>
      </c>
      <c r="K199" s="0" t="n">
        <v>9890</v>
      </c>
      <c r="L199" s="0" t="n">
        <v>10070</v>
      </c>
      <c r="M199" s="0" t="n">
        <v>10280</v>
      </c>
      <c r="N199" s="0" t="n">
        <v>10640</v>
      </c>
      <c r="O199" s="0" t="n">
        <v>10720</v>
      </c>
      <c r="P199" s="0" t="n">
        <v>9990</v>
      </c>
    </row>
    <row r="200" customFormat="false" ht="14.25" hidden="false" customHeight="false" outlineLevel="0" collapsed="false">
      <c r="A200" s="0" t="s">
        <v>16</v>
      </c>
      <c r="B200" s="1" t="s">
        <v>17</v>
      </c>
      <c r="C200" s="2" t="s">
        <v>415</v>
      </c>
      <c r="D200" s="1" t="s">
        <v>416</v>
      </c>
      <c r="E200" s="0" t="n">
        <v>8410</v>
      </c>
      <c r="F200" s="0" t="n">
        <v>9490</v>
      </c>
      <c r="G200" s="0" t="n">
        <v>19630</v>
      </c>
      <c r="H200" s="0" t="n">
        <v>20620</v>
      </c>
      <c r="I200" s="0" t="n">
        <v>22240</v>
      </c>
      <c r="J200" s="0" t="n">
        <v>23880</v>
      </c>
      <c r="K200" s="0" t="n">
        <v>25460</v>
      </c>
      <c r="L200" s="0" t="n">
        <v>26230</v>
      </c>
      <c r="M200" s="0" t="n">
        <v>27550</v>
      </c>
      <c r="N200" s="0" t="n">
        <v>27510</v>
      </c>
      <c r="O200" s="0" t="n">
        <v>26860</v>
      </c>
      <c r="P200" s="0" t="n">
        <v>27780</v>
      </c>
    </row>
    <row r="201" customFormat="false" ht="14.25" hidden="false" customHeight="false" outlineLevel="0" collapsed="false">
      <c r="A201" s="0" t="s">
        <v>16</v>
      </c>
      <c r="B201" s="1" t="s">
        <v>17</v>
      </c>
      <c r="C201" s="2" t="s">
        <v>417</v>
      </c>
      <c r="D201" s="1" t="s">
        <v>418</v>
      </c>
      <c r="E201" s="2" t="s">
        <v>20</v>
      </c>
      <c r="F201" s="0" t="n">
        <v>4120</v>
      </c>
      <c r="G201" s="0" t="n">
        <v>10200</v>
      </c>
      <c r="H201" s="0" t="n">
        <v>10920</v>
      </c>
      <c r="I201" s="0" t="n">
        <v>11630</v>
      </c>
      <c r="J201" s="0" t="n">
        <v>12280</v>
      </c>
      <c r="K201" s="0" t="n">
        <v>12890</v>
      </c>
      <c r="L201" s="0" t="n">
        <v>13500</v>
      </c>
      <c r="M201" s="0" t="n">
        <v>13620</v>
      </c>
      <c r="N201" s="0" t="n">
        <v>14560</v>
      </c>
      <c r="O201" s="0" t="n">
        <v>15600</v>
      </c>
      <c r="P201" s="2" t="s">
        <v>20</v>
      </c>
    </row>
    <row r="202" customFormat="false" ht="14.25" hidden="false" customHeight="false" outlineLevel="0" collapsed="false">
      <c r="A202" s="0" t="s">
        <v>16</v>
      </c>
      <c r="B202" s="1" t="s">
        <v>17</v>
      </c>
      <c r="C202" s="2" t="s">
        <v>419</v>
      </c>
      <c r="D202" s="1" t="s">
        <v>420</v>
      </c>
      <c r="E202" s="2" t="s">
        <v>20</v>
      </c>
      <c r="F202" s="2" t="s">
        <v>20</v>
      </c>
      <c r="G202" s="2" t="s">
        <v>20</v>
      </c>
      <c r="H202" s="2" t="s">
        <v>20</v>
      </c>
      <c r="I202" s="2" t="s">
        <v>20</v>
      </c>
      <c r="J202" s="0" t="n">
        <v>22070</v>
      </c>
      <c r="K202" s="0" t="n">
        <v>24140</v>
      </c>
      <c r="L202" s="0" t="n">
        <v>26420</v>
      </c>
      <c r="M202" s="0" t="n">
        <v>26620</v>
      </c>
      <c r="N202" s="0" t="n">
        <v>28010</v>
      </c>
      <c r="O202" s="0" t="n">
        <v>30060</v>
      </c>
      <c r="P202" s="2" t="s">
        <v>20</v>
      </c>
    </row>
    <row r="203" customFormat="false" ht="14.25" hidden="false" customHeight="false" outlineLevel="0" collapsed="false">
      <c r="A203" s="0" t="s">
        <v>16</v>
      </c>
      <c r="B203" s="1" t="s">
        <v>17</v>
      </c>
      <c r="C203" s="2" t="s">
        <v>421</v>
      </c>
      <c r="D203" s="1" t="s">
        <v>422</v>
      </c>
      <c r="E203" s="2" t="s">
        <v>20</v>
      </c>
      <c r="F203" s="2" t="s">
        <v>20</v>
      </c>
      <c r="G203" s="0" t="n">
        <v>4750</v>
      </c>
      <c r="H203" s="0" t="n">
        <v>4050</v>
      </c>
      <c r="I203" s="0" t="n">
        <v>5030</v>
      </c>
      <c r="J203" s="0" t="n">
        <v>4420</v>
      </c>
      <c r="K203" s="0" t="n">
        <v>5670</v>
      </c>
      <c r="L203" s="0" t="n">
        <v>5640</v>
      </c>
      <c r="M203" s="0" t="n">
        <v>5570</v>
      </c>
      <c r="N203" s="0" t="n">
        <v>6080</v>
      </c>
      <c r="O203" s="0" t="n">
        <v>6160</v>
      </c>
      <c r="P203" s="0" t="n">
        <v>6430</v>
      </c>
    </row>
    <row r="204" customFormat="false" ht="14.25" hidden="false" customHeight="false" outlineLevel="0" collapsed="false">
      <c r="A204" s="0" t="s">
        <v>16</v>
      </c>
      <c r="B204" s="1" t="s">
        <v>17</v>
      </c>
      <c r="C204" s="2" t="s">
        <v>423</v>
      </c>
      <c r="D204" s="1" t="s">
        <v>424</v>
      </c>
      <c r="E204" s="0" t="n">
        <v>660</v>
      </c>
      <c r="F204" s="0" t="n">
        <v>1120</v>
      </c>
      <c r="G204" s="0" t="n">
        <v>2220</v>
      </c>
      <c r="H204" s="0" t="n">
        <v>1970</v>
      </c>
      <c r="I204" s="0" t="n">
        <v>1970</v>
      </c>
      <c r="J204" s="0" t="n">
        <v>2040</v>
      </c>
      <c r="K204" s="0" t="n">
        <v>2090</v>
      </c>
      <c r="L204" s="0" t="n">
        <v>2050</v>
      </c>
      <c r="M204" s="0" t="n">
        <v>2030</v>
      </c>
      <c r="N204" s="0" t="n">
        <v>2110</v>
      </c>
      <c r="O204" s="0" t="n">
        <v>2220</v>
      </c>
      <c r="P204" s="0" t="n">
        <v>2260</v>
      </c>
    </row>
    <row r="205" customFormat="false" ht="14.25" hidden="false" customHeight="false" outlineLevel="0" collapsed="false">
      <c r="A205" s="0" t="s">
        <v>16</v>
      </c>
      <c r="B205" s="1" t="s">
        <v>17</v>
      </c>
      <c r="C205" s="2" t="s">
        <v>425</v>
      </c>
      <c r="D205" s="1" t="s">
        <v>426</v>
      </c>
      <c r="E205" s="0" t="n">
        <v>7470</v>
      </c>
      <c r="F205" s="0" t="n">
        <v>3980</v>
      </c>
      <c r="G205" s="0" t="n">
        <v>8700</v>
      </c>
      <c r="H205" s="0" t="n">
        <v>9190</v>
      </c>
      <c r="I205" s="0" t="n">
        <v>10510</v>
      </c>
      <c r="J205" s="0" t="n">
        <v>10620</v>
      </c>
      <c r="K205" s="0" t="n">
        <v>10040</v>
      </c>
      <c r="L205" s="0" t="n">
        <v>11040</v>
      </c>
      <c r="M205" s="0" t="n">
        <v>12140</v>
      </c>
      <c r="N205" s="0" t="n">
        <v>12960</v>
      </c>
      <c r="O205" s="0" t="n">
        <v>13750</v>
      </c>
      <c r="P205" s="0" t="n">
        <v>13260</v>
      </c>
    </row>
    <row r="206" customFormat="false" ht="14.25" hidden="false" customHeight="false" outlineLevel="0" collapsed="false">
      <c r="A206" s="0" t="s">
        <v>16</v>
      </c>
      <c r="B206" s="1" t="s">
        <v>17</v>
      </c>
      <c r="C206" s="2" t="s">
        <v>427</v>
      </c>
      <c r="D206" s="1" t="s">
        <v>428</v>
      </c>
      <c r="E206" s="2" t="s">
        <v>20</v>
      </c>
      <c r="F206" s="0" t="n">
        <v>103160</v>
      </c>
      <c r="G206" s="0" t="n">
        <v>67710</v>
      </c>
      <c r="H206" s="0" t="n">
        <v>69160</v>
      </c>
      <c r="I206" s="0" t="n">
        <v>70460</v>
      </c>
      <c r="J206" s="0" t="n">
        <v>73740</v>
      </c>
      <c r="K206" s="0" t="n">
        <v>65220</v>
      </c>
      <c r="L206" s="0" t="n">
        <v>64340</v>
      </c>
      <c r="M206" s="0" t="n">
        <v>67670</v>
      </c>
      <c r="N206" s="0" t="n">
        <v>68810</v>
      </c>
      <c r="O206" s="0" t="n">
        <v>70300</v>
      </c>
      <c r="P206" s="2" t="s">
        <v>20</v>
      </c>
    </row>
    <row r="207" customFormat="false" ht="14.25" hidden="false" customHeight="false" outlineLevel="0" collapsed="false">
      <c r="A207" s="0" t="s">
        <v>16</v>
      </c>
      <c r="B207" s="1" t="s">
        <v>17</v>
      </c>
      <c r="C207" s="2" t="s">
        <v>429</v>
      </c>
      <c r="D207" s="1" t="s">
        <v>430</v>
      </c>
      <c r="E207" s="0" t="n">
        <v>17310</v>
      </c>
      <c r="F207" s="0" t="n">
        <v>26520</v>
      </c>
      <c r="G207" s="0" t="n">
        <v>37320</v>
      </c>
      <c r="H207" s="0" t="n">
        <v>37900</v>
      </c>
      <c r="I207" s="0" t="n">
        <v>39120</v>
      </c>
      <c r="J207" s="0" t="n">
        <v>40450</v>
      </c>
      <c r="K207" s="0" t="n">
        <v>41590</v>
      </c>
      <c r="L207" s="0" t="n">
        <v>43080</v>
      </c>
      <c r="M207" s="0" t="n">
        <v>45180</v>
      </c>
      <c r="N207" s="0" t="n">
        <v>46530</v>
      </c>
      <c r="O207" s="0" t="n">
        <v>47620</v>
      </c>
      <c r="P207" s="2" t="s">
        <v>20</v>
      </c>
    </row>
    <row r="208" customFormat="false" ht="14.25" hidden="false" customHeight="false" outlineLevel="0" collapsed="false">
      <c r="A208" s="0" t="s">
        <v>16</v>
      </c>
      <c r="B208" s="1" t="s">
        <v>17</v>
      </c>
      <c r="C208" s="2" t="s">
        <v>431</v>
      </c>
      <c r="D208" s="1" t="s">
        <v>432</v>
      </c>
      <c r="E208" s="0" t="n">
        <v>23640</v>
      </c>
      <c r="F208" s="0" t="n">
        <v>36800</v>
      </c>
      <c r="G208" s="0" t="n">
        <v>50820</v>
      </c>
      <c r="H208" s="0" t="n">
        <v>53110</v>
      </c>
      <c r="I208" s="0" t="n">
        <v>54330</v>
      </c>
      <c r="J208" s="0" t="n">
        <v>56710</v>
      </c>
      <c r="K208" s="0" t="n">
        <v>58290</v>
      </c>
      <c r="L208" s="0" t="n">
        <v>59030</v>
      </c>
      <c r="M208" s="0" t="n">
        <v>61410</v>
      </c>
      <c r="N208" s="0" t="n">
        <v>64110</v>
      </c>
      <c r="O208" s="0" t="n">
        <v>66060</v>
      </c>
      <c r="P208" s="2" t="s">
        <v>20</v>
      </c>
    </row>
    <row r="209" customFormat="false" ht="14.25" hidden="false" customHeight="false" outlineLevel="0" collapsed="false">
      <c r="A209" s="0" t="s">
        <v>16</v>
      </c>
      <c r="B209" s="1" t="s">
        <v>17</v>
      </c>
      <c r="C209" s="2" t="s">
        <v>433</v>
      </c>
      <c r="D209" s="1" t="s">
        <v>434</v>
      </c>
      <c r="E209" s="0" t="n">
        <v>6170</v>
      </c>
      <c r="F209" s="0" t="n">
        <v>10230</v>
      </c>
      <c r="G209" s="0" t="n">
        <v>17390</v>
      </c>
      <c r="H209" s="0" t="n">
        <v>16830</v>
      </c>
      <c r="I209" s="0" t="n">
        <v>18110</v>
      </c>
      <c r="J209" s="0" t="n">
        <v>18780</v>
      </c>
      <c r="K209" s="0" t="n">
        <v>19290</v>
      </c>
      <c r="L209" s="0" t="n">
        <v>21410</v>
      </c>
      <c r="M209" s="0" t="n">
        <v>21730</v>
      </c>
      <c r="N209" s="0" t="n">
        <v>22250</v>
      </c>
      <c r="O209" s="0" t="n">
        <v>22810</v>
      </c>
      <c r="P209" s="0" t="n">
        <v>21630</v>
      </c>
    </row>
    <row r="210" customFormat="false" ht="14.25" hidden="false" customHeight="false" outlineLevel="0" collapsed="false">
      <c r="A210" s="0" t="s">
        <v>16</v>
      </c>
      <c r="B210" s="1" t="s">
        <v>17</v>
      </c>
      <c r="C210" s="2" t="s">
        <v>435</v>
      </c>
      <c r="D210" s="1" t="s">
        <v>436</v>
      </c>
      <c r="E210" s="2" t="s">
        <v>20</v>
      </c>
      <c r="F210" s="0" t="n">
        <v>2450</v>
      </c>
      <c r="G210" s="0" t="n">
        <v>5600</v>
      </c>
      <c r="H210" s="0" t="n">
        <v>5780</v>
      </c>
      <c r="I210" s="0" t="n">
        <v>6050</v>
      </c>
      <c r="J210" s="0" t="n">
        <v>6250</v>
      </c>
      <c r="K210" s="0" t="n">
        <v>6450</v>
      </c>
      <c r="L210" s="0" t="n">
        <v>6520</v>
      </c>
      <c r="M210" s="0" t="n">
        <v>6650</v>
      </c>
      <c r="N210" s="0" t="n">
        <v>7120</v>
      </c>
      <c r="O210" s="0" t="n">
        <v>7400</v>
      </c>
      <c r="P210" s="0" t="n">
        <v>7350</v>
      </c>
    </row>
    <row r="211" customFormat="false" ht="14.25" hidden="false" customHeight="false" outlineLevel="0" collapsed="false">
      <c r="A211" s="0" t="s">
        <v>16</v>
      </c>
      <c r="B211" s="1" t="s">
        <v>17</v>
      </c>
      <c r="C211" s="2" t="s">
        <v>437</v>
      </c>
      <c r="D211" s="1" t="s">
        <v>438</v>
      </c>
      <c r="E211" s="0" t="n">
        <v>1670</v>
      </c>
      <c r="F211" s="0" t="n">
        <v>2120</v>
      </c>
      <c r="G211" s="0" t="n">
        <v>2760</v>
      </c>
      <c r="H211" s="0" t="n">
        <v>2670</v>
      </c>
      <c r="I211" s="0" t="n">
        <v>2810</v>
      </c>
      <c r="J211" s="0" t="n">
        <v>2890</v>
      </c>
      <c r="K211" s="0" t="n">
        <v>2840</v>
      </c>
      <c r="L211" s="0" t="n">
        <v>2900</v>
      </c>
      <c r="M211" s="0" t="n">
        <v>3040</v>
      </c>
      <c r="N211" s="0" t="n">
        <v>3190</v>
      </c>
      <c r="O211" s="0" t="n">
        <v>3440</v>
      </c>
      <c r="P211" s="0" t="n">
        <v>2880</v>
      </c>
    </row>
    <row r="212" customFormat="false" ht="14.25" hidden="false" customHeight="false" outlineLevel="0" collapsed="false">
      <c r="A212" s="0" t="s">
        <v>16</v>
      </c>
      <c r="B212" s="1" t="s">
        <v>17</v>
      </c>
      <c r="C212" s="2" t="s">
        <v>439</v>
      </c>
      <c r="D212" s="1" t="s">
        <v>440</v>
      </c>
      <c r="E212" s="0" t="n">
        <v>9450</v>
      </c>
      <c r="F212" s="0" t="n">
        <v>11610</v>
      </c>
      <c r="G212" s="0" t="n">
        <v>17090</v>
      </c>
      <c r="H212" s="2" t="s">
        <v>20</v>
      </c>
      <c r="I212" s="2" t="s">
        <v>20</v>
      </c>
      <c r="J212" s="2" t="s">
        <v>20</v>
      </c>
      <c r="K212" s="2" t="s">
        <v>20</v>
      </c>
      <c r="L212" s="2" t="s">
        <v>20</v>
      </c>
      <c r="M212" s="2" t="s">
        <v>20</v>
      </c>
      <c r="N212" s="2" t="s">
        <v>20</v>
      </c>
      <c r="O212" s="2" t="s">
        <v>20</v>
      </c>
      <c r="P212" s="2" t="s">
        <v>20</v>
      </c>
    </row>
    <row r="213" customFormat="false" ht="14.25" hidden="false" customHeight="false" outlineLevel="0" collapsed="false">
      <c r="A213" s="0" t="s">
        <v>16</v>
      </c>
      <c r="B213" s="1" t="s">
        <v>17</v>
      </c>
      <c r="C213" s="2" t="s">
        <v>441</v>
      </c>
      <c r="D213" s="1" t="s">
        <v>442</v>
      </c>
      <c r="E213" s="0" t="n">
        <v>860</v>
      </c>
      <c r="F213" s="0" t="n">
        <v>2120</v>
      </c>
      <c r="G213" s="0" t="n">
        <v>4330</v>
      </c>
      <c r="H213" s="0" t="n">
        <v>4840</v>
      </c>
      <c r="I213" s="0" t="n">
        <v>5130</v>
      </c>
      <c r="J213" s="0" t="n">
        <v>5470</v>
      </c>
      <c r="K213" s="0" t="n">
        <v>5790</v>
      </c>
      <c r="L213" s="0" t="n">
        <v>6300</v>
      </c>
      <c r="M213" s="0" t="n">
        <v>6650</v>
      </c>
      <c r="N213" s="0" t="n">
        <v>7290</v>
      </c>
      <c r="O213" s="0" t="n">
        <v>7890</v>
      </c>
      <c r="P213" s="0" t="n">
        <v>8200</v>
      </c>
    </row>
    <row r="214" customFormat="false" ht="14.25" hidden="false" customHeight="false" outlineLevel="0" collapsed="false">
      <c r="A214" s="0" t="s">
        <v>16</v>
      </c>
      <c r="B214" s="1" t="s">
        <v>17</v>
      </c>
      <c r="C214" s="2" t="s">
        <v>443</v>
      </c>
      <c r="D214" s="1" t="s">
        <v>444</v>
      </c>
      <c r="E214" s="2" t="s">
        <v>20</v>
      </c>
      <c r="F214" s="2" t="s">
        <v>20</v>
      </c>
      <c r="G214" s="2" t="s">
        <v>20</v>
      </c>
      <c r="H214" s="2" t="s">
        <v>20</v>
      </c>
      <c r="I214" s="2" t="s">
        <v>20</v>
      </c>
      <c r="J214" s="2" t="s">
        <v>20</v>
      </c>
      <c r="K214" s="2" t="s">
        <v>20</v>
      </c>
      <c r="L214" s="2" t="s">
        <v>20</v>
      </c>
      <c r="M214" s="2" t="s">
        <v>20</v>
      </c>
      <c r="N214" s="2" t="s">
        <v>20</v>
      </c>
      <c r="O214" s="2" t="s">
        <v>20</v>
      </c>
      <c r="P214" s="2" t="s">
        <v>20</v>
      </c>
    </row>
    <row r="215" customFormat="false" ht="14.25" hidden="false" customHeight="false" outlineLevel="0" collapsed="false">
      <c r="A215" s="0" t="s">
        <v>16</v>
      </c>
      <c r="B215" s="1" t="s">
        <v>17</v>
      </c>
      <c r="C215" s="2" t="s">
        <v>445</v>
      </c>
      <c r="D215" s="1" t="s">
        <v>446</v>
      </c>
      <c r="E215" s="2" t="s">
        <v>20</v>
      </c>
      <c r="F215" s="0" t="n">
        <v>3100</v>
      </c>
      <c r="G215" s="0" t="n">
        <v>4780</v>
      </c>
      <c r="H215" s="0" t="n">
        <v>5610</v>
      </c>
      <c r="I215" s="0" t="n">
        <v>5810</v>
      </c>
      <c r="J215" s="0" t="n">
        <v>6090</v>
      </c>
      <c r="K215" s="0" t="n">
        <v>6680</v>
      </c>
      <c r="L215" s="0" t="n">
        <v>7080</v>
      </c>
      <c r="M215" s="0" t="n">
        <v>7250</v>
      </c>
      <c r="N215" s="0" t="n">
        <v>7580</v>
      </c>
      <c r="O215" s="0" t="n">
        <v>7660</v>
      </c>
      <c r="P215" s="0" t="n">
        <v>6620</v>
      </c>
    </row>
    <row r="216" customFormat="false" ht="14.25" hidden="false" customHeight="false" outlineLevel="0" collapsed="false">
      <c r="A216" s="0" t="s">
        <v>16</v>
      </c>
      <c r="B216" s="1" t="s">
        <v>17</v>
      </c>
      <c r="C216" s="2" t="s">
        <v>447</v>
      </c>
      <c r="D216" s="1" t="s">
        <v>448</v>
      </c>
      <c r="E216" s="0" t="n">
        <v>2060</v>
      </c>
      <c r="F216" s="0" t="n">
        <v>2720</v>
      </c>
      <c r="G216" s="0" t="n">
        <v>3350</v>
      </c>
      <c r="H216" s="0" t="n">
        <v>3340</v>
      </c>
      <c r="I216" s="0" t="n">
        <v>3520</v>
      </c>
      <c r="J216" s="2" t="s">
        <v>20</v>
      </c>
      <c r="K216" s="2" t="s">
        <v>20</v>
      </c>
      <c r="L216" s="2" t="s">
        <v>20</v>
      </c>
      <c r="M216" s="2" t="s">
        <v>20</v>
      </c>
      <c r="N216" s="2" t="s">
        <v>20</v>
      </c>
      <c r="O216" s="2" t="s">
        <v>20</v>
      </c>
      <c r="P216" s="2" t="s">
        <v>20</v>
      </c>
    </row>
    <row r="217" customFormat="false" ht="14.25" hidden="false" customHeight="false" outlineLevel="0" collapsed="false">
      <c r="A217" s="0" t="s">
        <v>16</v>
      </c>
      <c r="B217" s="1" t="s">
        <v>17</v>
      </c>
      <c r="C217" s="2" t="s">
        <v>449</v>
      </c>
      <c r="D217" s="1" t="s">
        <v>450</v>
      </c>
      <c r="E217" s="0" t="n">
        <v>1350</v>
      </c>
      <c r="F217" s="0" t="n">
        <v>1570</v>
      </c>
      <c r="G217" s="0" t="n">
        <v>3160</v>
      </c>
      <c r="H217" s="0" t="n">
        <v>3360</v>
      </c>
      <c r="I217" s="0" t="n">
        <v>3430</v>
      </c>
      <c r="J217" s="0" t="n">
        <v>3470</v>
      </c>
      <c r="K217" s="0" t="n">
        <v>3360</v>
      </c>
      <c r="L217" s="0" t="n">
        <v>3300</v>
      </c>
      <c r="M217" s="0" t="n">
        <v>3330</v>
      </c>
      <c r="N217" s="0" t="n">
        <v>3550</v>
      </c>
      <c r="O217" s="0" t="n">
        <v>3560</v>
      </c>
      <c r="P217" s="0" t="n">
        <v>3360</v>
      </c>
    </row>
    <row r="218" customFormat="false" ht="14.25" hidden="false" customHeight="false" outlineLevel="0" collapsed="false">
      <c r="A218" s="0" t="s">
        <v>16</v>
      </c>
      <c r="B218" s="1" t="s">
        <v>17</v>
      </c>
      <c r="C218" s="2" t="s">
        <v>451</v>
      </c>
      <c r="D218" s="1" t="s">
        <v>452</v>
      </c>
      <c r="E218" s="0" t="n">
        <v>1740</v>
      </c>
      <c r="F218" s="0" t="n">
        <v>2190</v>
      </c>
      <c r="G218" s="0" t="n">
        <v>1800</v>
      </c>
      <c r="H218" s="0" t="n">
        <v>2070</v>
      </c>
      <c r="I218" s="0" t="n">
        <v>2310</v>
      </c>
      <c r="J218" s="0" t="n">
        <v>2360</v>
      </c>
      <c r="K218" s="0" t="n">
        <v>2410</v>
      </c>
      <c r="L218" s="0" t="n">
        <v>2560</v>
      </c>
      <c r="M218" s="0" t="n">
        <v>3210</v>
      </c>
      <c r="N218" s="0" t="n">
        <v>3370</v>
      </c>
      <c r="O218" s="0" t="n">
        <v>3100</v>
      </c>
      <c r="P218" s="0" t="n">
        <v>2850</v>
      </c>
    </row>
    <row r="219" customFormat="false" ht="14.25" hidden="false" customHeight="false" outlineLevel="0" collapsed="false">
      <c r="A219" s="0" t="s">
        <v>16</v>
      </c>
      <c r="B219" s="1" t="s">
        <v>17</v>
      </c>
      <c r="C219" s="2" t="s">
        <v>453</v>
      </c>
      <c r="D219" s="1" t="s">
        <v>454</v>
      </c>
      <c r="E219" s="0" t="n">
        <v>1603.2042801835</v>
      </c>
      <c r="F219" s="0" t="n">
        <v>1904.29732037533</v>
      </c>
      <c r="G219" s="0" t="n">
        <v>2992.91512697012</v>
      </c>
      <c r="H219" s="0" t="n">
        <v>2982.14131629567</v>
      </c>
      <c r="I219" s="0" t="n">
        <v>3096.50649843606</v>
      </c>
      <c r="J219" s="0" t="n">
        <v>3263.31368346617</v>
      </c>
      <c r="K219" s="0" t="n">
        <v>3288.86041147241</v>
      </c>
      <c r="L219" s="0" t="n">
        <v>3368.66645626576</v>
      </c>
      <c r="M219" s="0" t="n">
        <v>3448.67290100666</v>
      </c>
      <c r="N219" s="0" t="n">
        <v>3540.1327129903</v>
      </c>
      <c r="O219" s="0" t="n">
        <v>3589.9560432148</v>
      </c>
      <c r="P219" s="0" t="n">
        <v>3454.23645997451</v>
      </c>
    </row>
    <row r="220" customFormat="false" ht="14.25" hidden="false" customHeight="false" outlineLevel="0" collapsed="false">
      <c r="A220" s="0" t="s">
        <v>16</v>
      </c>
      <c r="B220" s="1" t="s">
        <v>17</v>
      </c>
      <c r="C220" s="2" t="s">
        <v>455</v>
      </c>
      <c r="D220" s="1" t="s">
        <v>456</v>
      </c>
      <c r="E220" s="0" t="n">
        <v>1587.4478405276</v>
      </c>
      <c r="F220" s="0" t="n">
        <v>1808.31748696858</v>
      </c>
      <c r="G220" s="0" t="n">
        <v>3410.62032032872</v>
      </c>
      <c r="H220" s="0" t="n">
        <v>3526.63093165449</v>
      </c>
      <c r="I220" s="0" t="n">
        <v>3754.31876358433</v>
      </c>
      <c r="J220" s="0" t="n">
        <v>3975.06907920013</v>
      </c>
      <c r="K220" s="0" t="n">
        <v>4013.22583196557</v>
      </c>
      <c r="L220" s="0" t="n">
        <v>3951.22085467029</v>
      </c>
      <c r="M220" s="0" t="n">
        <v>3965.33365966982</v>
      </c>
      <c r="N220" s="0" t="n">
        <v>4040.12922879586</v>
      </c>
      <c r="O220" s="0" t="n">
        <v>4167.62498972404</v>
      </c>
      <c r="P220" s="0" t="n">
        <v>4066.8786877419</v>
      </c>
    </row>
    <row r="221" customFormat="false" ht="14.25" hidden="false" customHeight="false" outlineLevel="0" collapsed="false">
      <c r="A221" s="0" t="s">
        <v>16</v>
      </c>
      <c r="B221" s="1" t="s">
        <v>17</v>
      </c>
      <c r="C221" s="2" t="s">
        <v>457</v>
      </c>
      <c r="D221" s="1" t="s">
        <v>458</v>
      </c>
      <c r="E221" s="0" t="n">
        <v>6979.14445516938</v>
      </c>
      <c r="F221" s="0" t="n">
        <v>10190.8855911383</v>
      </c>
      <c r="G221" s="0" t="n">
        <v>15370.426352118</v>
      </c>
      <c r="H221" s="0" t="n">
        <v>16398.9815261767</v>
      </c>
      <c r="I221" s="0" t="n">
        <v>16373.5871524602</v>
      </c>
      <c r="J221" s="0" t="n">
        <v>16126.459204456</v>
      </c>
      <c r="K221" s="0" t="n">
        <v>14516.3827851168</v>
      </c>
      <c r="L221" s="0" t="n">
        <v>14048.6186560898</v>
      </c>
      <c r="M221" s="0" t="n">
        <v>14572.5268134345</v>
      </c>
      <c r="N221" s="0" t="n">
        <v>14907.5887719199</v>
      </c>
      <c r="O221" s="0" t="n">
        <v>15109.6398764943</v>
      </c>
      <c r="P221" s="0" t="n">
        <v>14476.7031555569</v>
      </c>
    </row>
    <row r="222" customFormat="false" ht="14.25" hidden="false" customHeight="false" outlineLevel="0" collapsed="false">
      <c r="A222" s="0" t="s">
        <v>16</v>
      </c>
      <c r="B222" s="1" t="s">
        <v>17</v>
      </c>
      <c r="C222" s="2" t="s">
        <v>459</v>
      </c>
      <c r="D222" s="1" t="s">
        <v>460</v>
      </c>
      <c r="E222" s="0" t="n">
        <v>5729.45656842368</v>
      </c>
      <c r="F222" s="0" t="n">
        <v>9038.61014189576</v>
      </c>
      <c r="G222" s="0" t="n">
        <v>14183.5335739755</v>
      </c>
      <c r="H222" s="0" t="n">
        <v>14417.3979623319</v>
      </c>
      <c r="I222" s="0" t="n">
        <v>14837.2330401901</v>
      </c>
      <c r="J222" s="0" t="n">
        <v>14834.6048712838</v>
      </c>
      <c r="K222" s="0" t="n">
        <v>14805.8558054096</v>
      </c>
      <c r="L222" s="0" t="n">
        <v>14660.6582508516</v>
      </c>
      <c r="M222" s="0" t="n">
        <v>15337.4738506412</v>
      </c>
      <c r="N222" s="0" t="n">
        <v>15660.8084455091</v>
      </c>
      <c r="O222" s="0" t="n">
        <v>16158.8101275326</v>
      </c>
      <c r="P222" s="0" t="n">
        <v>14686.197175834</v>
      </c>
    </row>
    <row r="223" customFormat="false" ht="14.25" hidden="false" customHeight="false" outlineLevel="0" collapsed="false">
      <c r="A223" s="0" t="s">
        <v>16</v>
      </c>
      <c r="B223" s="1" t="s">
        <v>17</v>
      </c>
      <c r="C223" s="2" t="s">
        <v>461</v>
      </c>
      <c r="D223" s="1" t="s">
        <v>462</v>
      </c>
      <c r="E223" s="2" t="s">
        <v>20</v>
      </c>
      <c r="F223" s="0" t="n">
        <v>9864.36673084352</v>
      </c>
      <c r="G223" s="0" t="n">
        <v>21342.8762289005</v>
      </c>
      <c r="H223" s="0" t="n">
        <v>22174.6743454824</v>
      </c>
      <c r="I223" s="0" t="n">
        <v>23240.5849794766</v>
      </c>
      <c r="J223" s="0" t="n">
        <v>24197.0655849254</v>
      </c>
      <c r="K223" s="0" t="n">
        <v>25222.6803371731</v>
      </c>
      <c r="L223" s="0" t="n">
        <v>26896.3375117063</v>
      </c>
      <c r="M223" s="0" t="n">
        <v>28870.2831877189</v>
      </c>
      <c r="N223" s="0" t="n">
        <v>30808.6505859593</v>
      </c>
      <c r="O223" s="0" t="n">
        <v>33006.1918648894</v>
      </c>
      <c r="P223" s="0" t="n">
        <v>32942.61523233</v>
      </c>
    </row>
    <row r="224" customFormat="false" ht="14.25" hidden="false" customHeight="false" outlineLevel="0" collapsed="false">
      <c r="A224" s="0" t="s">
        <v>16</v>
      </c>
      <c r="B224" s="1" t="s">
        <v>17</v>
      </c>
      <c r="C224" s="2" t="s">
        <v>463</v>
      </c>
      <c r="D224" s="1" t="s">
        <v>464</v>
      </c>
      <c r="E224" s="0" t="n">
        <v>2862.76029845613</v>
      </c>
      <c r="F224" s="0" t="n">
        <v>4071.40048250297</v>
      </c>
      <c r="G224" s="0" t="n">
        <v>7274.76294467887</v>
      </c>
      <c r="H224" s="0" t="n">
        <v>7637.30996862684</v>
      </c>
      <c r="I224" s="0" t="n">
        <v>7871.62516987438</v>
      </c>
      <c r="J224" s="0" t="n">
        <v>8093.76295531285</v>
      </c>
      <c r="K224" s="0" t="n">
        <v>8197.00026163414</v>
      </c>
      <c r="L224" s="0" t="n">
        <v>8459.429762022</v>
      </c>
      <c r="M224" s="0" t="n">
        <v>8886.90479827112</v>
      </c>
      <c r="N224" s="0" t="n">
        <v>9309.22390557194</v>
      </c>
      <c r="O224" s="0" t="n">
        <v>9568.54162581841</v>
      </c>
      <c r="P224" s="0" t="n">
        <v>9120.52871588343</v>
      </c>
    </row>
    <row r="225" customFormat="false" ht="14.25" hidden="false" customHeight="false" outlineLevel="0" collapsed="false">
      <c r="A225" s="0" t="s">
        <v>16</v>
      </c>
      <c r="B225" s="1" t="s">
        <v>17</v>
      </c>
      <c r="C225" s="2" t="s">
        <v>465</v>
      </c>
      <c r="D225" s="1" t="s">
        <v>466</v>
      </c>
      <c r="E225" s="0" t="n">
        <v>3194.40377132398</v>
      </c>
      <c r="F225" s="0" t="n">
        <v>5694.79646154542</v>
      </c>
      <c r="G225" s="0" t="n">
        <v>12585.0485024213</v>
      </c>
      <c r="H225" s="0" t="n">
        <v>13456.5901922312</v>
      </c>
      <c r="I225" s="0" t="n">
        <v>14124.4841657255</v>
      </c>
      <c r="J225" s="0" t="n">
        <v>14720.7976341472</v>
      </c>
      <c r="K225" s="0" t="n">
        <v>15105.434308872</v>
      </c>
      <c r="L225" s="0" t="n">
        <v>15588.635328028</v>
      </c>
      <c r="M225" s="0" t="n">
        <v>16336.125623709</v>
      </c>
      <c r="N225" s="0" t="n">
        <v>17369.5254307389</v>
      </c>
      <c r="O225" s="0" t="n">
        <v>18348.6283566764</v>
      </c>
      <c r="P225" s="0" t="n">
        <v>18551.5740523397</v>
      </c>
    </row>
    <row r="226" customFormat="false" ht="14.25" hidden="false" customHeight="false" outlineLevel="0" collapsed="false">
      <c r="A226" s="0" t="s">
        <v>16</v>
      </c>
      <c r="B226" s="1" t="s">
        <v>17</v>
      </c>
      <c r="C226" s="2" t="s">
        <v>467</v>
      </c>
      <c r="D226" s="1" t="s">
        <v>468</v>
      </c>
      <c r="E226" s="0" t="n">
        <v>1419.78988734039</v>
      </c>
      <c r="F226" s="0" t="n">
        <v>3233.94064276253</v>
      </c>
      <c r="G226" s="0" t="n">
        <v>9456.8945169127</v>
      </c>
      <c r="H226" s="0" t="n">
        <v>10288.6151055749</v>
      </c>
      <c r="I226" s="0" t="n">
        <v>10828.9439444439</v>
      </c>
      <c r="J226" s="0" t="n">
        <v>11413.6792674883</v>
      </c>
      <c r="K226" s="0" t="n">
        <v>11700.6780373235</v>
      </c>
      <c r="L226" s="0" t="n">
        <v>12220.4972773348</v>
      </c>
      <c r="M226" s="0" t="n">
        <v>12910.3264905676</v>
      </c>
      <c r="N226" s="0" t="n">
        <v>13927.6783363081</v>
      </c>
      <c r="O226" s="0" t="n">
        <v>14930.1189056898</v>
      </c>
      <c r="P226" s="0" t="n">
        <v>15093.5665556534</v>
      </c>
    </row>
    <row r="227" customFormat="false" ht="14.25" hidden="false" customHeight="false" outlineLevel="0" collapsed="false">
      <c r="A227" s="0" t="s">
        <v>16</v>
      </c>
      <c r="B227" s="1" t="s">
        <v>17</v>
      </c>
      <c r="C227" s="2" t="s">
        <v>469</v>
      </c>
      <c r="D227" s="1" t="s">
        <v>470</v>
      </c>
      <c r="E227" s="0" t="n">
        <v>1435.28800648087</v>
      </c>
      <c r="F227" s="0" t="n">
        <v>3269.18281542278</v>
      </c>
      <c r="G227" s="0" t="n">
        <v>9558.1787309287</v>
      </c>
      <c r="H227" s="0" t="n">
        <v>10398.5262194152</v>
      </c>
      <c r="I227" s="0" t="n">
        <v>10944.3433766332</v>
      </c>
      <c r="J227" s="0" t="n">
        <v>11535.0116638697</v>
      </c>
      <c r="K227" s="0" t="n">
        <v>11824.758088358</v>
      </c>
      <c r="L227" s="0" t="n">
        <v>12349.7122311984</v>
      </c>
      <c r="M227" s="0" t="n">
        <v>13046.4062087364</v>
      </c>
      <c r="N227" s="0" t="n">
        <v>14074.1558497907</v>
      </c>
      <c r="O227" s="0" t="n">
        <v>15086.893286898</v>
      </c>
      <c r="P227" s="0" t="n">
        <v>15251.8618413035</v>
      </c>
    </row>
    <row r="228" customFormat="false" ht="14.25" hidden="false" customHeight="false" outlineLevel="0" collapsed="false">
      <c r="A228" s="0" t="s">
        <v>16</v>
      </c>
      <c r="B228" s="1" t="s">
        <v>17</v>
      </c>
      <c r="C228" s="2" t="s">
        <v>471</v>
      </c>
      <c r="D228" s="1" t="s">
        <v>472</v>
      </c>
      <c r="E228" s="0" t="n">
        <v>17015.7442546297</v>
      </c>
      <c r="F228" s="0" t="n">
        <v>25363.9346433074</v>
      </c>
      <c r="G228" s="0" t="n">
        <v>37599.6632014207</v>
      </c>
      <c r="H228" s="0" t="n">
        <v>38032.0879051125</v>
      </c>
      <c r="I228" s="0" t="n">
        <v>39253.7968130641</v>
      </c>
      <c r="J228" s="0" t="n">
        <v>40164.0511420372</v>
      </c>
      <c r="K228" s="0" t="n">
        <v>41095.4221209828</v>
      </c>
      <c r="L228" s="0" t="n">
        <v>43705.4565851961</v>
      </c>
      <c r="M228" s="0" t="n">
        <v>45797.8752012812</v>
      </c>
      <c r="N228" s="0" t="n">
        <v>47813.3853947516</v>
      </c>
      <c r="O228" s="0" t="n">
        <v>49526.8314793652</v>
      </c>
      <c r="P228" s="2" t="s">
        <v>20</v>
      </c>
    </row>
    <row r="229" customFormat="false" ht="14.25" hidden="false" customHeight="false" outlineLevel="0" collapsed="false">
      <c r="A229" s="0" t="s">
        <v>16</v>
      </c>
      <c r="B229" s="1" t="s">
        <v>17</v>
      </c>
      <c r="C229" s="2" t="s">
        <v>473</v>
      </c>
      <c r="D229" s="1" t="s">
        <v>474</v>
      </c>
      <c r="E229" s="0" t="n">
        <v>11745.788853297</v>
      </c>
      <c r="F229" s="0" t="n">
        <v>15875.8035419103</v>
      </c>
      <c r="G229" s="0" t="n">
        <v>27495.1598722593</v>
      </c>
      <c r="H229" s="0" t="n">
        <v>28248.0166655948</v>
      </c>
      <c r="I229" s="0" t="n">
        <v>29517.8807663835</v>
      </c>
      <c r="J229" s="0" t="n">
        <v>30247.6230537647</v>
      </c>
      <c r="K229" s="0" t="n">
        <v>30640.1038218941</v>
      </c>
      <c r="L229" s="0" t="n">
        <v>32056.6982056625</v>
      </c>
      <c r="M229" s="0" t="n">
        <v>33750.4534438336</v>
      </c>
      <c r="N229" s="0" t="n">
        <v>35427.4980725271</v>
      </c>
      <c r="O229" s="0" t="n">
        <v>36514.6199174242</v>
      </c>
      <c r="P229" s="2" t="s">
        <v>20</v>
      </c>
    </row>
    <row r="230" customFormat="false" ht="14.25" hidden="false" customHeight="false" outlineLevel="0" collapsed="false">
      <c r="A230" s="0" t="s">
        <v>16</v>
      </c>
      <c r="B230" s="1" t="s">
        <v>17</v>
      </c>
      <c r="C230" s="2" t="s">
        <v>475</v>
      </c>
      <c r="D230" s="1" t="s">
        <v>476</v>
      </c>
      <c r="E230" s="0" t="n">
        <v>6854.72635053598</v>
      </c>
      <c r="F230" s="0" t="n">
        <v>6046.99928975805</v>
      </c>
      <c r="G230" s="0" t="n">
        <v>16453.6187978173</v>
      </c>
      <c r="H230" s="0" t="n">
        <v>17449.9663302183</v>
      </c>
      <c r="I230" s="0" t="n">
        <v>18767.1026362582</v>
      </c>
      <c r="J230" s="0" t="n">
        <v>19231.8951839376</v>
      </c>
      <c r="K230" s="0" t="n">
        <v>18915.2102808946</v>
      </c>
      <c r="L230" s="0" t="n">
        <v>19356.9279461951</v>
      </c>
      <c r="M230" s="0" t="n">
        <v>20627.921956574</v>
      </c>
      <c r="N230" s="0" t="n">
        <v>21968.4973818741</v>
      </c>
      <c r="O230" s="0" t="n">
        <v>22360.6867728335</v>
      </c>
      <c r="P230" s="0" t="n">
        <v>22171.5760983393</v>
      </c>
    </row>
    <row r="231" customFormat="false" ht="14.25" hidden="false" customHeight="false" outlineLevel="0" collapsed="false">
      <c r="A231" s="0" t="s">
        <v>16</v>
      </c>
      <c r="B231" s="1" t="s">
        <v>17</v>
      </c>
      <c r="C231" s="2" t="s">
        <v>477</v>
      </c>
      <c r="D231" s="1" t="s">
        <v>478</v>
      </c>
      <c r="E231" s="0" t="n">
        <v>6769.36859581615</v>
      </c>
      <c r="F231" s="0" t="n">
        <v>6495.86713463189</v>
      </c>
      <c r="G231" s="0" t="n">
        <v>16966.5140969908</v>
      </c>
      <c r="H231" s="0" t="n">
        <v>17941.308336462</v>
      </c>
      <c r="I231" s="0" t="n">
        <v>19214.6200473444</v>
      </c>
      <c r="J231" s="0" t="n">
        <v>19701.2089498082</v>
      </c>
      <c r="K231" s="0" t="n">
        <v>19537.0860929544</v>
      </c>
      <c r="L231" s="0" t="n">
        <v>20056.2465085602</v>
      </c>
      <c r="M231" s="0" t="n">
        <v>21361.2164059867</v>
      </c>
      <c r="N231" s="0" t="n">
        <v>22742.0431616236</v>
      </c>
      <c r="O231" s="0" t="n">
        <v>23285.6945325929</v>
      </c>
      <c r="P231" s="0" t="n">
        <v>23135.7778403825</v>
      </c>
    </row>
    <row r="232" customFormat="false" ht="14.25" hidden="false" customHeight="false" outlineLevel="0" collapsed="false">
      <c r="A232" s="0" t="s">
        <v>16</v>
      </c>
      <c r="B232" s="1" t="s">
        <v>17</v>
      </c>
      <c r="C232" s="2" t="s">
        <v>479</v>
      </c>
      <c r="D232" s="1" t="s">
        <v>480</v>
      </c>
      <c r="E232" s="0" t="n">
        <v>14698.4996927618</v>
      </c>
      <c r="F232" s="0" t="n">
        <v>22061.2179132892</v>
      </c>
      <c r="G232" s="0" t="n">
        <v>34450.1152029758</v>
      </c>
      <c r="H232" s="0" t="n">
        <v>34975.3797953886</v>
      </c>
      <c r="I232" s="0" t="n">
        <v>36174.2505069531</v>
      </c>
      <c r="J232" s="0" t="n">
        <v>37109.242715886</v>
      </c>
      <c r="K232" s="0" t="n">
        <v>38103.9829545354</v>
      </c>
      <c r="L232" s="0" t="n">
        <v>40530.4479925328</v>
      </c>
      <c r="M232" s="0" t="n">
        <v>42639.4448479397</v>
      </c>
      <c r="N232" s="0" t="n">
        <v>44650.1467064893</v>
      </c>
      <c r="O232" s="0" t="n">
        <v>46515.2307310106</v>
      </c>
      <c r="P232" s="2" t="s">
        <v>20</v>
      </c>
    </row>
    <row r="233" customFormat="false" ht="14.25" hidden="false" customHeight="false" outlineLevel="0" collapsed="false">
      <c r="A233" s="0" t="s">
        <v>16</v>
      </c>
      <c r="B233" s="1" t="s">
        <v>17</v>
      </c>
      <c r="C233" s="2" t="s">
        <v>481</v>
      </c>
      <c r="D233" s="1" t="s">
        <v>482</v>
      </c>
      <c r="E233" s="0" t="n">
        <v>1758.92249658774</v>
      </c>
      <c r="F233" s="0" t="n">
        <v>2487.13392674508</v>
      </c>
      <c r="G233" s="0" t="n">
        <v>4034.07752936399</v>
      </c>
      <c r="H233" s="0" t="n">
        <v>4348.92620412565</v>
      </c>
      <c r="I233" s="0" t="n">
        <v>4484.37235045083</v>
      </c>
      <c r="J233" s="0" t="n">
        <v>4596.92279746836</v>
      </c>
      <c r="K233" s="0" t="n">
        <v>4359.55374918772</v>
      </c>
      <c r="L233" s="0" t="n">
        <v>4351.8363834675</v>
      </c>
      <c r="M233" s="0" t="n">
        <v>4505.51009251954</v>
      </c>
      <c r="N233" s="0" t="n">
        <v>4611.45901312779</v>
      </c>
      <c r="O233" s="0" t="n">
        <v>4723.34146073294</v>
      </c>
      <c r="P233" s="0" t="n">
        <v>4438.30333311786</v>
      </c>
    </row>
    <row r="234" customFormat="false" ht="14.25" hidden="false" customHeight="false" outlineLevel="0" collapsed="false">
      <c r="A234" s="0" t="s">
        <v>16</v>
      </c>
      <c r="B234" s="1" t="s">
        <v>17</v>
      </c>
      <c r="C234" s="2" t="s">
        <v>483</v>
      </c>
      <c r="D234" s="1" t="s">
        <v>484</v>
      </c>
      <c r="E234" s="0" t="n">
        <v>941.414937054569</v>
      </c>
      <c r="F234" s="0" t="n">
        <v>1173.12165477999</v>
      </c>
      <c r="G234" s="0" t="n">
        <v>1906.32634684487</v>
      </c>
      <c r="H234" s="0" t="n">
        <v>1932.7610900481</v>
      </c>
      <c r="I234" s="0" t="n">
        <v>2047.82498106599</v>
      </c>
      <c r="J234" s="0" t="n">
        <v>2199.38940653624</v>
      </c>
      <c r="K234" s="0" t="n">
        <v>2284.68627685669</v>
      </c>
      <c r="L234" s="0" t="n">
        <v>2363.81174711034</v>
      </c>
      <c r="M234" s="0" t="n">
        <v>2439.32443797967</v>
      </c>
      <c r="N234" s="0" t="n">
        <v>2545.12202313249</v>
      </c>
      <c r="O234" s="0" t="n">
        <v>2628.26101312338</v>
      </c>
      <c r="P234" s="0" t="n">
        <v>2590.37101481515</v>
      </c>
    </row>
    <row r="235" customFormat="false" ht="14.25" hidden="false" customHeight="false" outlineLevel="0" collapsed="false">
      <c r="A235" s="0" t="s">
        <v>16</v>
      </c>
      <c r="B235" s="1" t="s">
        <v>17</v>
      </c>
      <c r="C235" s="2" t="s">
        <v>485</v>
      </c>
      <c r="D235" s="1" t="s">
        <v>486</v>
      </c>
      <c r="E235" s="0" t="n">
        <v>18279.6215786232</v>
      </c>
      <c r="F235" s="0" t="n">
        <v>28140.3071795652</v>
      </c>
      <c r="G235" s="0" t="n">
        <v>41454.0614319996</v>
      </c>
      <c r="H235" s="0" t="n">
        <v>42744.4895906417</v>
      </c>
      <c r="I235" s="0" t="n">
        <v>44075.709537908</v>
      </c>
      <c r="J235" s="0" t="n">
        <v>45349.3645325465</v>
      </c>
      <c r="K235" s="0" t="n">
        <v>46037.9553914481</v>
      </c>
      <c r="L235" s="0" t="n">
        <v>47207.6503504441</v>
      </c>
      <c r="M235" s="0" t="n">
        <v>49204.2926148727</v>
      </c>
      <c r="N235" s="0" t="n">
        <v>51136.9784837322</v>
      </c>
      <c r="O235" s="0" t="n">
        <v>52628.6800039626</v>
      </c>
      <c r="P235" s="2" t="s">
        <v>20</v>
      </c>
    </row>
    <row r="236" customFormat="false" ht="14.25" hidden="false" customHeight="false" outlineLevel="0" collapsed="false">
      <c r="A236" s="0" t="s">
        <v>16</v>
      </c>
      <c r="B236" s="1" t="s">
        <v>17</v>
      </c>
      <c r="C236" s="2" t="s">
        <v>487</v>
      </c>
      <c r="D236" s="1" t="s">
        <v>488</v>
      </c>
      <c r="E236" s="0" t="n">
        <v>2843.53860777021</v>
      </c>
      <c r="F236" s="0" t="n">
        <v>4353.3843336936</v>
      </c>
      <c r="G236" s="0" t="n">
        <v>9808.34976571584</v>
      </c>
      <c r="H236" s="0" t="n">
        <v>10430.744566369</v>
      </c>
      <c r="I236" s="0" t="n">
        <v>10898.7217150349</v>
      </c>
      <c r="J236" s="0" t="n">
        <v>11261.7095602227</v>
      </c>
      <c r="K236" s="0" t="n">
        <v>11347.6710558928</v>
      </c>
      <c r="L236" s="0" t="n">
        <v>11735.4524239822</v>
      </c>
      <c r="M236" s="0" t="n">
        <v>12368.5070206144</v>
      </c>
      <c r="N236" s="0" t="n">
        <v>13126.1381811899</v>
      </c>
      <c r="O236" s="0" t="n">
        <v>13741.4365431469</v>
      </c>
      <c r="P236" s="0" t="n">
        <v>13479.244462652</v>
      </c>
    </row>
    <row r="237" customFormat="false" ht="14.25" hidden="false" customHeight="false" outlineLevel="0" collapsed="false">
      <c r="A237" s="0" t="s">
        <v>16</v>
      </c>
      <c r="B237" s="1" t="s">
        <v>17</v>
      </c>
      <c r="C237" s="2" t="s">
        <v>489</v>
      </c>
      <c r="D237" s="1" t="s">
        <v>490</v>
      </c>
      <c r="E237" s="0" t="n">
        <v>2534.91337298604</v>
      </c>
      <c r="F237" s="0" t="n">
        <v>3766.4271708583</v>
      </c>
      <c r="G237" s="0" t="n">
        <v>8158.52112544106</v>
      </c>
      <c r="H237" s="0" t="n">
        <v>8638.02842537339</v>
      </c>
      <c r="I237" s="0" t="n">
        <v>9013.27599596854</v>
      </c>
      <c r="J237" s="0" t="n">
        <v>9313.62433316718</v>
      </c>
      <c r="K237" s="0" t="n">
        <v>9383.16181979654</v>
      </c>
      <c r="L237" s="0" t="n">
        <v>9672.76306088386</v>
      </c>
      <c r="M237" s="0" t="n">
        <v>10155.859349055</v>
      </c>
      <c r="N237" s="0" t="n">
        <v>10742.8655782849</v>
      </c>
      <c r="O237" s="0" t="n">
        <v>11207.7983962944</v>
      </c>
      <c r="P237" s="0" t="n">
        <v>10968.8461284926</v>
      </c>
    </row>
    <row r="238" customFormat="false" ht="14.25" hidden="false" customHeight="false" outlineLevel="0" collapsed="false">
      <c r="A238" s="0" t="s">
        <v>16</v>
      </c>
      <c r="B238" s="1" t="s">
        <v>17</v>
      </c>
      <c r="C238" s="2" t="s">
        <v>491</v>
      </c>
      <c r="D238" s="1" t="s">
        <v>492</v>
      </c>
      <c r="E238" s="0" t="n">
        <v>1877.21842604189</v>
      </c>
      <c r="F238" s="0" t="n">
        <v>2267.16738004535</v>
      </c>
      <c r="G238" s="0" t="n">
        <v>4058.347745499</v>
      </c>
      <c r="H238" s="0" t="n">
        <v>4143.37353192779</v>
      </c>
      <c r="I238" s="0" t="n">
        <v>4298.97992304491</v>
      </c>
      <c r="J238" s="0" t="n">
        <v>4532.6930362583</v>
      </c>
      <c r="K238" s="0" t="n">
        <v>4605.99784905106</v>
      </c>
      <c r="L238" s="0" t="n">
        <v>4591.93041607792</v>
      </c>
      <c r="M238" s="0" t="n">
        <v>4696.68783281171</v>
      </c>
      <c r="N238" s="0" t="n">
        <v>4866.89445873282</v>
      </c>
      <c r="O238" s="0" t="n">
        <v>4958.85595592564</v>
      </c>
      <c r="P238" s="0" t="n">
        <v>4862.80082552659</v>
      </c>
    </row>
    <row r="239" customFormat="false" ht="14.25" hidden="false" customHeight="false" outlineLevel="0" collapsed="false">
      <c r="A239" s="0" t="s">
        <v>16</v>
      </c>
      <c r="B239" s="1" t="s">
        <v>17</v>
      </c>
      <c r="C239" s="2" t="s">
        <v>493</v>
      </c>
      <c r="D239" s="1" t="s">
        <v>494</v>
      </c>
      <c r="E239" s="0" t="n">
        <v>957.292581668542</v>
      </c>
      <c r="F239" s="0" t="n">
        <v>1293.52051542563</v>
      </c>
      <c r="G239" s="0" t="n">
        <v>2323.52025005709</v>
      </c>
      <c r="H239" s="0" t="n">
        <v>2421.33147372123</v>
      </c>
      <c r="I239" s="0" t="n">
        <v>2583.02600949309</v>
      </c>
      <c r="J239" s="0" t="n">
        <v>2746.87903820187</v>
      </c>
      <c r="K239" s="0" t="n">
        <v>2865.97528093808</v>
      </c>
      <c r="L239" s="0" t="n">
        <v>2989.89575842553</v>
      </c>
      <c r="M239" s="0" t="n">
        <v>3122.29532822477</v>
      </c>
      <c r="N239" s="0" t="n">
        <v>3313.38431091668</v>
      </c>
      <c r="O239" s="0" t="n">
        <v>3473.34315967948</v>
      </c>
      <c r="P239" s="0" t="n">
        <v>3425.52281551932</v>
      </c>
    </row>
    <row r="240" customFormat="false" ht="14.25" hidden="false" customHeight="false" outlineLevel="0" collapsed="false">
      <c r="A240" s="0" t="s">
        <v>16</v>
      </c>
      <c r="B240" s="1" t="s">
        <v>17</v>
      </c>
      <c r="C240" s="2" t="s">
        <v>495</v>
      </c>
      <c r="D240" s="1" t="s">
        <v>496</v>
      </c>
      <c r="E240" s="0" t="n">
        <v>1274.71826786143</v>
      </c>
      <c r="F240" s="0" t="n">
        <v>1623.84843190361</v>
      </c>
      <c r="G240" s="0" t="n">
        <v>2911.47026769898</v>
      </c>
      <c r="H240" s="0" t="n">
        <v>3004.59410433662</v>
      </c>
      <c r="I240" s="0" t="n">
        <v>3163.38407071551</v>
      </c>
      <c r="J240" s="0" t="n">
        <v>3350.83531138075</v>
      </c>
      <c r="K240" s="0" t="n">
        <v>3452.53042356611</v>
      </c>
      <c r="L240" s="0" t="n">
        <v>3525.50405887916</v>
      </c>
      <c r="M240" s="0" t="n">
        <v>3646.3560150313</v>
      </c>
      <c r="N240" s="0" t="n">
        <v>3827.38214486962</v>
      </c>
      <c r="O240" s="0" t="n">
        <v>3960.61810746256</v>
      </c>
      <c r="P240" s="0" t="n">
        <v>3895.90026661121</v>
      </c>
    </row>
    <row r="241" customFormat="false" ht="14.25" hidden="false" customHeight="false" outlineLevel="0" collapsed="false">
      <c r="A241" s="0" t="s">
        <v>16</v>
      </c>
      <c r="B241" s="1" t="s">
        <v>17</v>
      </c>
      <c r="C241" s="2" t="s">
        <v>497</v>
      </c>
      <c r="D241" s="1" t="s">
        <v>498</v>
      </c>
      <c r="E241" s="0" t="n">
        <v>2793.55088844424</v>
      </c>
      <c r="F241" s="0" t="n">
        <v>4675.43567881177</v>
      </c>
      <c r="G241" s="0" t="n">
        <v>12333.6756936639</v>
      </c>
      <c r="H241" s="0" t="n">
        <v>13213.0642483097</v>
      </c>
      <c r="I241" s="0" t="n">
        <v>13924.470018207</v>
      </c>
      <c r="J241" s="0" t="n">
        <v>14485.5980529099</v>
      </c>
      <c r="K241" s="0" t="n">
        <v>14486.1912220925</v>
      </c>
      <c r="L241" s="0" t="n">
        <v>14934.2045791415</v>
      </c>
      <c r="M241" s="0" t="n">
        <v>15775.3198187549</v>
      </c>
      <c r="N241" s="0" t="n">
        <v>16904.2653717367</v>
      </c>
      <c r="O241" s="0" t="n">
        <v>17904.3264081326</v>
      </c>
      <c r="P241" s="0" t="n">
        <v>17992.2107395245</v>
      </c>
    </row>
    <row r="242" customFormat="false" ht="14.25" hidden="false" customHeight="false" outlineLevel="0" collapsed="false">
      <c r="A242" s="0" t="s">
        <v>16</v>
      </c>
      <c r="B242" s="1" t="s">
        <v>17</v>
      </c>
      <c r="C242" s="2" t="s">
        <v>499</v>
      </c>
      <c r="D242" s="1" t="s">
        <v>500</v>
      </c>
      <c r="E242" s="0" t="n">
        <v>6042.48819133346</v>
      </c>
      <c r="F242" s="0" t="n">
        <v>8503.79249529384</v>
      </c>
      <c r="G242" s="0" t="n">
        <v>13827.8653310513</v>
      </c>
      <c r="H242" s="0" t="n">
        <v>14120.896724694</v>
      </c>
      <c r="I242" s="0" t="n">
        <v>14634.1750712489</v>
      </c>
      <c r="J242" s="0" t="n">
        <v>14953.665412607</v>
      </c>
      <c r="K242" s="0" t="n">
        <v>14789.6962282285</v>
      </c>
      <c r="L242" s="0" t="n">
        <v>15022.448470636</v>
      </c>
      <c r="M242" s="0" t="n">
        <v>15634.3650071277</v>
      </c>
      <c r="N242" s="0" t="n">
        <v>16007.0304259264</v>
      </c>
      <c r="O242" s="0" t="n">
        <v>16355.6670731974</v>
      </c>
      <c r="P242" s="0" t="n">
        <v>15363.266584093</v>
      </c>
    </row>
    <row r="243" customFormat="false" ht="14.25" hidden="false" customHeight="false" outlineLevel="0" collapsed="false">
      <c r="A243" s="0" t="s">
        <v>16</v>
      </c>
      <c r="B243" s="1" t="s">
        <v>17</v>
      </c>
      <c r="C243" s="2" t="s">
        <v>501</v>
      </c>
      <c r="D243" s="1" t="s">
        <v>502</v>
      </c>
      <c r="E243" s="0" t="n">
        <v>5876.36773620061</v>
      </c>
      <c r="F243" s="0" t="n">
        <v>8203.71381199158</v>
      </c>
      <c r="G243" s="0" t="n">
        <v>13341.2663890616</v>
      </c>
      <c r="H243" s="0" t="n">
        <v>13605.4360468478</v>
      </c>
      <c r="I243" s="0" t="n">
        <v>14102.5005948157</v>
      </c>
      <c r="J243" s="0" t="n">
        <v>14409.2856643205</v>
      </c>
      <c r="K243" s="0" t="n">
        <v>14227.3036252899</v>
      </c>
      <c r="L243" s="0" t="n">
        <v>14420.8772128885</v>
      </c>
      <c r="M243" s="0" t="n">
        <v>15006.004413855</v>
      </c>
      <c r="N243" s="0" t="n">
        <v>15358.9006756119</v>
      </c>
      <c r="O243" s="0" t="n">
        <v>15643.3678773104</v>
      </c>
      <c r="P243" s="0" t="n">
        <v>14669.027594431</v>
      </c>
    </row>
    <row r="244" customFormat="false" ht="14.25" hidden="false" customHeight="false" outlineLevel="0" collapsed="false">
      <c r="A244" s="0" t="s">
        <v>16</v>
      </c>
      <c r="B244" s="1" t="s">
        <v>17</v>
      </c>
      <c r="C244" s="2" t="s">
        <v>503</v>
      </c>
      <c r="D244" s="1" t="s">
        <v>504</v>
      </c>
      <c r="E244" s="0" t="n">
        <v>6057.41107317291</v>
      </c>
      <c r="F244" s="0" t="n">
        <v>8490.1468982177</v>
      </c>
      <c r="G244" s="0" t="n">
        <v>13826.09262088</v>
      </c>
      <c r="H244" s="0" t="n">
        <v>14117.2610629182</v>
      </c>
      <c r="I244" s="0" t="n">
        <v>14633.2596023348</v>
      </c>
      <c r="J244" s="0" t="n">
        <v>14953.77334201</v>
      </c>
      <c r="K244" s="0" t="n">
        <v>14784.2657021478</v>
      </c>
      <c r="L244" s="0" t="n">
        <v>15017.1930685026</v>
      </c>
      <c r="M244" s="0" t="n">
        <v>15633.5110000516</v>
      </c>
      <c r="N244" s="0" t="n">
        <v>16005.1373988655</v>
      </c>
      <c r="O244" s="0" t="n">
        <v>16348.2008714729</v>
      </c>
      <c r="P244" s="0" t="n">
        <v>15351.8170670488</v>
      </c>
    </row>
    <row r="245" customFormat="false" ht="14.25" hidden="false" customHeight="false" outlineLevel="0" collapsed="false">
      <c r="A245" s="0" t="s">
        <v>16</v>
      </c>
      <c r="B245" s="1" t="s">
        <v>17</v>
      </c>
      <c r="C245" s="2" t="s">
        <v>505</v>
      </c>
      <c r="D245" s="1" t="s">
        <v>506</v>
      </c>
      <c r="E245" s="0" t="n">
        <v>858.882710647778</v>
      </c>
      <c r="F245" s="0" t="n">
        <v>1174.65732173108</v>
      </c>
      <c r="G245" s="0" t="n">
        <v>2204.51152982956</v>
      </c>
      <c r="H245" s="0" t="n">
        <v>2296.11737213299</v>
      </c>
      <c r="I245" s="0" t="n">
        <v>2403.61754939115</v>
      </c>
      <c r="J245" s="0" t="n">
        <v>2559.21335490341</v>
      </c>
      <c r="K245" s="0" t="n">
        <v>2617.26373242434</v>
      </c>
      <c r="L245" s="0" t="n">
        <v>2729.60759612521</v>
      </c>
      <c r="M245" s="0" t="n">
        <v>2849.37934559601</v>
      </c>
      <c r="N245" s="0" t="n">
        <v>3003.64277375545</v>
      </c>
      <c r="O245" s="0" t="n">
        <v>3135.37802837617</v>
      </c>
      <c r="P245" s="0" t="n">
        <v>3085.8430986678</v>
      </c>
    </row>
    <row r="246" customFormat="false" ht="14.25" hidden="false" customHeight="false" outlineLevel="0" collapsed="false">
      <c r="A246" s="0" t="s">
        <v>16</v>
      </c>
      <c r="B246" s="1" t="s">
        <v>17</v>
      </c>
      <c r="C246" s="2" t="s">
        <v>507</v>
      </c>
      <c r="D246" s="1" t="s">
        <v>508</v>
      </c>
      <c r="E246" s="0" t="n">
        <v>2451.7931191903</v>
      </c>
      <c r="F246" s="0" t="n">
        <v>3635.37090148572</v>
      </c>
      <c r="G246" s="0" t="n">
        <v>7952.31820517052</v>
      </c>
      <c r="H246" s="0" t="n">
        <v>8426.36179297497</v>
      </c>
      <c r="I246" s="0" t="n">
        <v>8795.221808028</v>
      </c>
      <c r="J246" s="0" t="n">
        <v>9091.27822018217</v>
      </c>
      <c r="K246" s="0" t="n">
        <v>9153.1910467869</v>
      </c>
      <c r="L246" s="0" t="n">
        <v>9432.90223907825</v>
      </c>
      <c r="M246" s="0" t="n">
        <v>9904.25526848788</v>
      </c>
      <c r="N246" s="0" t="n">
        <v>10480.7345179014</v>
      </c>
      <c r="O246" s="0" t="n">
        <v>10929.344088831</v>
      </c>
      <c r="P246" s="0" t="n">
        <v>10693.3757351416</v>
      </c>
    </row>
    <row r="247" customFormat="false" ht="14.25" hidden="false" customHeight="false" outlineLevel="0" collapsed="false">
      <c r="A247" s="0" t="s">
        <v>16</v>
      </c>
      <c r="B247" s="1" t="s">
        <v>17</v>
      </c>
      <c r="C247" s="2" t="s">
        <v>509</v>
      </c>
      <c r="D247" s="1" t="s">
        <v>510</v>
      </c>
      <c r="E247" s="0" t="n">
        <v>821.759662986371</v>
      </c>
      <c r="F247" s="0" t="n">
        <v>1088.39093283118</v>
      </c>
      <c r="G247" s="0" t="n">
        <v>1795.54164879399</v>
      </c>
      <c r="H247" s="0" t="n">
        <v>1786.18728437927</v>
      </c>
      <c r="I247" s="0" t="n">
        <v>1847.18189880761</v>
      </c>
      <c r="J247" s="0" t="n">
        <v>2026.33524790112</v>
      </c>
      <c r="K247" s="0" t="n">
        <v>2093.67650788803</v>
      </c>
      <c r="L247" s="0" t="n">
        <v>2211.98296865184</v>
      </c>
      <c r="M247" s="0" t="n">
        <v>2290.73607024125</v>
      </c>
      <c r="N247" s="0" t="n">
        <v>2389.88760960178</v>
      </c>
      <c r="O247" s="0" t="n">
        <v>2465.45052219414</v>
      </c>
      <c r="P247" s="0" t="n">
        <v>2448.56725238465</v>
      </c>
    </row>
    <row r="248" customFormat="false" ht="14.25" hidden="false" customHeight="false" outlineLevel="0" collapsed="false">
      <c r="A248" s="0" t="s">
        <v>16</v>
      </c>
      <c r="B248" s="1" t="s">
        <v>17</v>
      </c>
      <c r="C248" s="2" t="s">
        <v>511</v>
      </c>
      <c r="D248" s="1" t="s">
        <v>512</v>
      </c>
      <c r="E248" s="0" t="n">
        <v>1976.68521588777</v>
      </c>
      <c r="F248" s="0" t="n">
        <v>2777.25859363688</v>
      </c>
      <c r="G248" s="0" t="n">
        <v>5357.8864343736</v>
      </c>
      <c r="H248" s="0" t="n">
        <v>5643.83242076914</v>
      </c>
      <c r="I248" s="0" t="n">
        <v>5851.83613395004</v>
      </c>
      <c r="J248" s="0" t="n">
        <v>6013.66601387648</v>
      </c>
      <c r="K248" s="0" t="n">
        <v>6121.61165962123</v>
      </c>
      <c r="L248" s="0" t="n">
        <v>6347.91328396872</v>
      </c>
      <c r="M248" s="0" t="n">
        <v>6649.70204556844</v>
      </c>
      <c r="N248" s="0" t="n">
        <v>7040.67179628917</v>
      </c>
      <c r="O248" s="0" t="n">
        <v>7323.23993903519</v>
      </c>
      <c r="P248" s="0" t="n">
        <v>7007.14117521608</v>
      </c>
    </row>
    <row r="249" customFormat="false" ht="14.25" hidden="false" customHeight="false" outlineLevel="0" collapsed="false">
      <c r="A249" s="0" t="s">
        <v>16</v>
      </c>
      <c r="B249" s="1" t="s">
        <v>17</v>
      </c>
      <c r="C249" s="2" t="s">
        <v>513</v>
      </c>
      <c r="D249" s="1" t="s">
        <v>514</v>
      </c>
      <c r="E249" s="0" t="n">
        <v>7920.32533832553</v>
      </c>
      <c r="F249" s="0" t="n">
        <v>11532.5364851393</v>
      </c>
      <c r="G249" s="0" t="n">
        <v>17790.0072694436</v>
      </c>
      <c r="H249" s="0" t="n">
        <v>18407.1294784615</v>
      </c>
      <c r="I249" s="0" t="n">
        <v>18321.5640984774</v>
      </c>
      <c r="J249" s="0" t="n">
        <v>18013.7765381082</v>
      </c>
      <c r="K249" s="0" t="n">
        <v>16259.677440215</v>
      </c>
      <c r="L249" s="0" t="n">
        <v>15947.451058187</v>
      </c>
      <c r="M249" s="0" t="n">
        <v>16581.2536396668</v>
      </c>
      <c r="N249" s="0" t="n">
        <v>16801.7366115292</v>
      </c>
      <c r="O249" s="0" t="n">
        <v>16876.3117537372</v>
      </c>
      <c r="P249" s="0" t="n">
        <v>16356.1964254428</v>
      </c>
    </row>
    <row r="250" customFormat="false" ht="14.25" hidden="false" customHeight="false" outlineLevel="0" collapsed="false">
      <c r="A250" s="0" t="s">
        <v>16</v>
      </c>
      <c r="B250" s="1" t="s">
        <v>17</v>
      </c>
      <c r="C250" s="2" t="s">
        <v>515</v>
      </c>
      <c r="D250" s="1" t="s">
        <v>516</v>
      </c>
      <c r="E250" s="0" t="n">
        <v>4705.21637230645</v>
      </c>
      <c r="F250" s="0" t="n">
        <v>7325.41581327572</v>
      </c>
      <c r="G250" s="0" t="n">
        <v>11383.194668394</v>
      </c>
      <c r="H250" s="0" t="n">
        <v>11704.2916222906</v>
      </c>
      <c r="I250" s="0" t="n">
        <v>11576.0898670413</v>
      </c>
      <c r="J250" s="0" t="n">
        <v>11205.5741836396</v>
      </c>
      <c r="K250" s="0" t="n">
        <v>10507.6647956777</v>
      </c>
      <c r="L250" s="0" t="n">
        <v>10496.4463327874</v>
      </c>
      <c r="M250" s="0" t="n">
        <v>10804.2823252447</v>
      </c>
      <c r="N250" s="0" t="n">
        <v>10886.0681753703</v>
      </c>
      <c r="O250" s="0" t="n">
        <v>10881.1754387587</v>
      </c>
      <c r="P250" s="0" t="n">
        <v>10570.1764279839</v>
      </c>
    </row>
    <row r="251" customFormat="false" ht="14.25" hidden="false" customHeight="false" outlineLevel="0" collapsed="false">
      <c r="A251" s="0" t="s">
        <v>16</v>
      </c>
      <c r="B251" s="1" t="s">
        <v>17</v>
      </c>
      <c r="C251" s="2" t="s">
        <v>517</v>
      </c>
      <c r="D251" s="1" t="s">
        <v>518</v>
      </c>
      <c r="E251" s="0" t="n">
        <v>4726.81327897521</v>
      </c>
      <c r="F251" s="0" t="n">
        <v>7370.44464244736</v>
      </c>
      <c r="G251" s="0" t="n">
        <v>11460.740093512</v>
      </c>
      <c r="H251" s="0" t="n">
        <v>11776.0923229158</v>
      </c>
      <c r="I251" s="0" t="n">
        <v>11644.2534842097</v>
      </c>
      <c r="J251" s="0" t="n">
        <v>11265.9793243956</v>
      </c>
      <c r="K251" s="0" t="n">
        <v>10552.2711781557</v>
      </c>
      <c r="L251" s="0" t="n">
        <v>10536.0545024164</v>
      </c>
      <c r="M251" s="0" t="n">
        <v>10845.7025388842</v>
      </c>
      <c r="N251" s="0" t="n">
        <v>10924.5540896861</v>
      </c>
      <c r="O251" s="0" t="n">
        <v>10918.79613426</v>
      </c>
      <c r="P251" s="0" t="n">
        <v>10617.7576371135</v>
      </c>
    </row>
    <row r="252" customFormat="false" ht="14.25" hidden="false" customHeight="false" outlineLevel="0" collapsed="false">
      <c r="A252" s="0" t="s">
        <v>16</v>
      </c>
      <c r="B252" s="1" t="s">
        <v>17</v>
      </c>
      <c r="C252" s="2" t="s">
        <v>519</v>
      </c>
      <c r="D252" s="1" t="s">
        <v>520</v>
      </c>
      <c r="E252" s="0" t="n">
        <v>2574.73897701609</v>
      </c>
      <c r="F252" s="0" t="n">
        <v>3853.5942109133</v>
      </c>
      <c r="G252" s="0" t="n">
        <v>8571.24959941202</v>
      </c>
      <c r="H252" s="0" t="n">
        <v>9101.18448294905</v>
      </c>
      <c r="I252" s="0" t="n">
        <v>9511.17861497478</v>
      </c>
      <c r="J252" s="0" t="n">
        <v>9833.68442041383</v>
      </c>
      <c r="K252" s="0" t="n">
        <v>9907.94529081909</v>
      </c>
      <c r="L252" s="0" t="n">
        <v>10218.6272067765</v>
      </c>
      <c r="M252" s="0" t="n">
        <v>10744.5303947408</v>
      </c>
      <c r="N252" s="0" t="n">
        <v>11387.0008594475</v>
      </c>
      <c r="O252" s="0" t="n">
        <v>11892.5021087704</v>
      </c>
      <c r="P252" s="0" t="n">
        <v>11649.3414056986</v>
      </c>
    </row>
    <row r="253" customFormat="false" ht="14.25" hidden="false" customHeight="false" outlineLevel="0" collapsed="false">
      <c r="A253" s="0" t="s">
        <v>16</v>
      </c>
      <c r="B253" s="1" t="s">
        <v>17</v>
      </c>
      <c r="C253" s="2" t="s">
        <v>521</v>
      </c>
      <c r="D253" s="1" t="s">
        <v>522</v>
      </c>
      <c r="E253" s="0" t="n">
        <v>23098.6195632533</v>
      </c>
      <c r="F253" s="0" t="n">
        <v>35998.4452888358</v>
      </c>
      <c r="G253" s="0" t="n">
        <v>49840.5221954061</v>
      </c>
      <c r="H253" s="0" t="n">
        <v>51958.6596078336</v>
      </c>
      <c r="I253" s="0" t="n">
        <v>53266.6550464852</v>
      </c>
      <c r="J253" s="0" t="n">
        <v>55539.4808343091</v>
      </c>
      <c r="K253" s="0" t="n">
        <v>56860.8260893185</v>
      </c>
      <c r="L253" s="0" t="n">
        <v>57709.7200033603</v>
      </c>
      <c r="M253" s="0" t="n">
        <v>60032.0476721057</v>
      </c>
      <c r="N253" s="0" t="n">
        <v>62617.6808112011</v>
      </c>
      <c r="O253" s="0" t="n">
        <v>64416.5214622962</v>
      </c>
      <c r="P253" s="2" t="s">
        <v>20</v>
      </c>
    </row>
    <row r="254" customFormat="false" ht="14.25" hidden="false" customHeight="false" outlineLevel="0" collapsed="false">
      <c r="A254" s="0" t="s">
        <v>16</v>
      </c>
      <c r="B254" s="1" t="s">
        <v>17</v>
      </c>
      <c r="C254" s="2" t="s">
        <v>523</v>
      </c>
      <c r="D254" s="1" t="s">
        <v>524</v>
      </c>
      <c r="E254" s="2" t="s">
        <v>20</v>
      </c>
      <c r="F254" s="2" t="s">
        <v>20</v>
      </c>
      <c r="G254" s="2" t="s">
        <v>20</v>
      </c>
      <c r="H254" s="2" t="s">
        <v>20</v>
      </c>
      <c r="I254" s="2" t="s">
        <v>20</v>
      </c>
      <c r="J254" s="2" t="s">
        <v>20</v>
      </c>
      <c r="K254" s="2" t="s">
        <v>20</v>
      </c>
      <c r="L254" s="2" t="s">
        <v>20</v>
      </c>
      <c r="M254" s="2" t="s">
        <v>20</v>
      </c>
      <c r="N254" s="2" t="s">
        <v>20</v>
      </c>
      <c r="O254" s="2" t="s">
        <v>20</v>
      </c>
      <c r="P254" s="2" t="s">
        <v>20</v>
      </c>
    </row>
    <row r="255" customFormat="false" ht="14.25" hidden="false" customHeight="false" outlineLevel="0" collapsed="false">
      <c r="A255" s="0" t="s">
        <v>16</v>
      </c>
      <c r="B255" s="1" t="s">
        <v>17</v>
      </c>
      <c r="C255" s="2" t="s">
        <v>525</v>
      </c>
      <c r="D255" s="1" t="s">
        <v>526</v>
      </c>
      <c r="E255" s="0" t="n">
        <v>16410.4382772312</v>
      </c>
      <c r="F255" s="0" t="n">
        <v>24678.808499016</v>
      </c>
      <c r="G255" s="0" t="n">
        <v>36036.9058927679</v>
      </c>
      <c r="H255" s="0" t="n">
        <v>37151.720625757</v>
      </c>
      <c r="I255" s="0" t="n">
        <v>38387.7831817694</v>
      </c>
      <c r="J255" s="0" t="n">
        <v>39622.4525748652</v>
      </c>
      <c r="K255" s="0" t="n">
        <v>40670.993631726</v>
      </c>
      <c r="L255" s="0" t="n">
        <v>41917.207815572</v>
      </c>
      <c r="M255" s="0" t="n">
        <v>43596.3724275405</v>
      </c>
      <c r="N255" s="0" t="n">
        <v>45224.1876784602</v>
      </c>
      <c r="O255" s="0" t="n">
        <v>46432.8544585409</v>
      </c>
      <c r="P255" s="2" t="s">
        <v>20</v>
      </c>
    </row>
    <row r="256" customFormat="false" ht="14.25" hidden="false" customHeight="false" outlineLevel="0" collapsed="false">
      <c r="A256" s="0" t="s">
        <v>16</v>
      </c>
      <c r="B256" s="1" t="s">
        <v>17</v>
      </c>
      <c r="C256" s="2" t="s">
        <v>527</v>
      </c>
      <c r="D256" s="1" t="s">
        <v>528</v>
      </c>
      <c r="E256" s="2" t="s">
        <v>20</v>
      </c>
      <c r="F256" s="0" t="n">
        <v>10600.4626791786</v>
      </c>
      <c r="G256" s="0" t="n">
        <v>22567.670610435</v>
      </c>
      <c r="H256" s="0" t="n">
        <v>24011.1685126154</v>
      </c>
      <c r="I256" s="0" t="n">
        <v>24527.5478657307</v>
      </c>
      <c r="J256" s="0" t="n">
        <v>24403.5329846572</v>
      </c>
      <c r="K256" s="0" t="n">
        <v>21193.8608076924</v>
      </c>
      <c r="L256" s="0" t="n">
        <v>20666.3376570428</v>
      </c>
      <c r="M256" s="0" t="n">
        <v>22150.3387070998</v>
      </c>
      <c r="N256" s="0" t="n">
        <v>22554.876049174</v>
      </c>
      <c r="O256" s="0" t="n">
        <v>22978.1041736522</v>
      </c>
      <c r="P256" s="0" t="n">
        <v>21522.2324534536</v>
      </c>
    </row>
    <row r="257" customFormat="false" ht="14.25" hidden="false" customHeight="false" outlineLevel="0" collapsed="false">
      <c r="A257" s="0" t="s">
        <v>16</v>
      </c>
      <c r="B257" s="1" t="s">
        <v>17</v>
      </c>
      <c r="C257" s="2" t="s">
        <v>529</v>
      </c>
      <c r="D257" s="1" t="s">
        <v>530</v>
      </c>
      <c r="E257" s="0" t="n">
        <v>2866.175322255</v>
      </c>
      <c r="F257" s="0" t="n">
        <v>3979.6622209527</v>
      </c>
      <c r="G257" s="0" t="n">
        <v>5162.18690411915</v>
      </c>
      <c r="H257" s="0" t="n">
        <v>5349.76562262955</v>
      </c>
      <c r="I257" s="0" t="n">
        <v>5756.23028266693</v>
      </c>
      <c r="J257" s="0" t="n">
        <v>6324.92103749706</v>
      </c>
      <c r="K257" s="0" t="n">
        <v>6716.61398722476</v>
      </c>
      <c r="L257" s="0" t="n">
        <v>6842.77794210784</v>
      </c>
      <c r="M257" s="0" t="n">
        <v>7062.88346489318</v>
      </c>
      <c r="N257" s="0" t="n">
        <v>7412.02896241605</v>
      </c>
      <c r="O257" s="0" t="n">
        <v>7419.74114467201</v>
      </c>
      <c r="P257" s="0" t="n">
        <v>6320.59923861348</v>
      </c>
    </row>
    <row r="258" customFormat="false" ht="14.25" hidden="false" customHeight="false" outlineLevel="0" collapsed="false">
      <c r="A258" s="0" t="s">
        <v>16</v>
      </c>
      <c r="B258" s="1" t="s">
        <v>17</v>
      </c>
      <c r="C258" s="2" t="s">
        <v>531</v>
      </c>
      <c r="D258" s="1" t="s">
        <v>532</v>
      </c>
      <c r="E258" s="0" t="n">
        <v>17816.0305052886</v>
      </c>
      <c r="F258" s="0" t="n">
        <v>27023.223566336</v>
      </c>
      <c r="G258" s="0" t="n">
        <v>39735.8006594844</v>
      </c>
      <c r="H258" s="0" t="n">
        <v>40961.3885195392</v>
      </c>
      <c r="I258" s="0" t="n">
        <v>42362.4570671221</v>
      </c>
      <c r="J258" s="0" t="n">
        <v>43645.1297771373</v>
      </c>
      <c r="K258" s="0" t="n">
        <v>44696.9484934512</v>
      </c>
      <c r="L258" s="0" t="n">
        <v>46052.2416114223</v>
      </c>
      <c r="M258" s="0" t="n">
        <v>48028.6312276968</v>
      </c>
      <c r="N258" s="0" t="n">
        <v>49988.9228829742</v>
      </c>
      <c r="O258" s="0" t="n">
        <v>51475.6710407104</v>
      </c>
      <c r="P258" s="2" t="s">
        <v>20</v>
      </c>
    </row>
    <row r="259" customFormat="false" ht="14.25" hidden="false" customHeight="false" outlineLevel="0" collapsed="false">
      <c r="A259" s="0" t="s">
        <v>16</v>
      </c>
      <c r="B259" s="1" t="s">
        <v>17</v>
      </c>
      <c r="C259" s="2" t="s">
        <v>533</v>
      </c>
      <c r="D259" s="1" t="s">
        <v>534</v>
      </c>
      <c r="E259" s="0" t="n">
        <v>1316.39449773722</v>
      </c>
      <c r="F259" s="0" t="n">
        <v>1871.519338117</v>
      </c>
      <c r="G259" s="0" t="n">
        <v>3121.13080361132</v>
      </c>
      <c r="H259" s="0" t="n">
        <v>3242.42968142962</v>
      </c>
      <c r="I259" s="0" t="n">
        <v>3356.97400407152</v>
      </c>
      <c r="J259" s="0" t="n">
        <v>3473.91618130886</v>
      </c>
      <c r="K259" s="0" t="n">
        <v>3332.78106691964</v>
      </c>
      <c r="L259" s="0" t="n">
        <v>3324.31714120084</v>
      </c>
      <c r="M259" s="0" t="n">
        <v>3416.62587752666</v>
      </c>
      <c r="N259" s="0" t="n">
        <v>3469.00322096265</v>
      </c>
      <c r="O259" s="0" t="n">
        <v>3557.86668986623</v>
      </c>
      <c r="P259" s="0" t="n">
        <v>3419.13793667331</v>
      </c>
    </row>
    <row r="260" customFormat="false" ht="14.25" hidden="false" customHeight="false" outlineLevel="0" collapsed="false">
      <c r="A260" s="0" t="s">
        <v>16</v>
      </c>
      <c r="B260" s="1" t="s">
        <v>17</v>
      </c>
      <c r="C260" s="2" t="s">
        <v>535</v>
      </c>
      <c r="D260" s="1" t="s">
        <v>536</v>
      </c>
      <c r="E260" s="2" t="s">
        <v>20</v>
      </c>
      <c r="F260" s="0" t="n">
        <v>9815.1681263121</v>
      </c>
      <c r="G260" s="0" t="n">
        <v>19837.4491393949</v>
      </c>
      <c r="H260" s="0" t="n">
        <v>20992.1118144254</v>
      </c>
      <c r="I260" s="0" t="n">
        <v>21508.7308927269</v>
      </c>
      <c r="J260" s="0" t="n">
        <v>21475.0706915957</v>
      </c>
      <c r="K260" s="0" t="n">
        <v>19107.6929880658</v>
      </c>
      <c r="L260" s="0" t="n">
        <v>18707.1977795316</v>
      </c>
      <c r="M260" s="0" t="n">
        <v>19980.7856656679</v>
      </c>
      <c r="N260" s="0" t="n">
        <v>20383.3498405234</v>
      </c>
      <c r="O260" s="0" t="n">
        <v>20809.9519657556</v>
      </c>
      <c r="P260" s="0" t="n">
        <v>19355.0027236554</v>
      </c>
    </row>
    <row r="261" customFormat="false" ht="14.25" hidden="false" customHeight="false" outlineLevel="0" collapsed="false">
      <c r="A261" s="0" t="s">
        <v>16</v>
      </c>
      <c r="B261" s="1" t="s">
        <v>17</v>
      </c>
      <c r="C261" s="2" t="s">
        <v>537</v>
      </c>
      <c r="D261" s="1" t="s">
        <v>538</v>
      </c>
      <c r="E261" s="0" t="n">
        <v>1231.59161997474</v>
      </c>
      <c r="F261" s="0" t="n">
        <v>2061.64976186785</v>
      </c>
      <c r="G261" s="0" t="n">
        <v>4223.54971238188</v>
      </c>
      <c r="H261" s="0" t="n">
        <v>4542.63963528242</v>
      </c>
      <c r="I261" s="0" t="n">
        <v>4722.5014101996</v>
      </c>
      <c r="J261" s="0" t="n">
        <v>4897.18459791323</v>
      </c>
      <c r="K261" s="0" t="n">
        <v>5104.51285007157</v>
      </c>
      <c r="L261" s="0" t="n">
        <v>5375.61637489313</v>
      </c>
      <c r="M261" s="0" t="n">
        <v>5727.57367089096</v>
      </c>
      <c r="N261" s="0" t="n">
        <v>6169.48194402658</v>
      </c>
      <c r="O261" s="0" t="n">
        <v>6462.56987707023</v>
      </c>
      <c r="P261" s="0" t="n">
        <v>6058.26957884886</v>
      </c>
    </row>
    <row r="262" customFormat="false" ht="14.25" hidden="false" customHeight="false" outlineLevel="0" collapsed="false">
      <c r="A262" s="0" t="s">
        <v>16</v>
      </c>
      <c r="B262" s="1" t="s">
        <v>17</v>
      </c>
      <c r="C262" s="2" t="s">
        <v>539</v>
      </c>
      <c r="D262" s="1" t="s">
        <v>540</v>
      </c>
      <c r="E262" s="0" t="n">
        <v>1231.59161997474</v>
      </c>
      <c r="F262" s="0" t="n">
        <v>2061.64976186785</v>
      </c>
      <c r="G262" s="0" t="n">
        <v>4223.54971238188</v>
      </c>
      <c r="H262" s="0" t="n">
        <v>4542.63963528242</v>
      </c>
      <c r="I262" s="0" t="n">
        <v>4722.5014101996</v>
      </c>
      <c r="J262" s="0" t="n">
        <v>4897.18459791323</v>
      </c>
      <c r="K262" s="0" t="n">
        <v>5104.51285007157</v>
      </c>
      <c r="L262" s="0" t="n">
        <v>5375.61637489313</v>
      </c>
      <c r="M262" s="0" t="n">
        <v>5727.57367089096</v>
      </c>
      <c r="N262" s="0" t="n">
        <v>6169.48194402658</v>
      </c>
      <c r="O262" s="0" t="n">
        <v>6462.56987707023</v>
      </c>
      <c r="P262" s="0" t="n">
        <v>6058.26957884886</v>
      </c>
    </row>
    <row r="263" customFormat="false" ht="14.25" hidden="false" customHeight="false" outlineLevel="0" collapsed="false">
      <c r="A263" s="0" t="s">
        <v>16</v>
      </c>
      <c r="B263" s="1" t="s">
        <v>17</v>
      </c>
      <c r="C263" s="2" t="s">
        <v>541</v>
      </c>
      <c r="D263" s="1" t="s">
        <v>542</v>
      </c>
      <c r="E263" s="0" t="n">
        <v>1597.16317297873</v>
      </c>
      <c r="F263" s="0" t="n">
        <v>1866.31289124982</v>
      </c>
      <c r="G263" s="0" t="n">
        <v>3161.72575283078</v>
      </c>
      <c r="H263" s="0" t="n">
        <v>3202.24277919275</v>
      </c>
      <c r="I263" s="0" t="n">
        <v>3362.43294958324</v>
      </c>
      <c r="J263" s="0" t="n">
        <v>3551.02286109239</v>
      </c>
      <c r="K263" s="0" t="n">
        <v>3581.6705895919</v>
      </c>
      <c r="L263" s="0" t="n">
        <v>3604.10245365934</v>
      </c>
      <c r="M263" s="0" t="n">
        <v>3657.46616067448</v>
      </c>
      <c r="N263" s="0" t="n">
        <v>3742.2176680881</v>
      </c>
      <c r="O263" s="0" t="n">
        <v>3823.55244218584</v>
      </c>
      <c r="P263" s="0" t="n">
        <v>3702.09395959794</v>
      </c>
    </row>
    <row r="264" customFormat="false" ht="14.25" hidden="false" customHeight="false" outlineLevel="0" collapsed="false">
      <c r="A264" s="0" t="s">
        <v>16</v>
      </c>
      <c r="B264" s="1" t="s">
        <v>17</v>
      </c>
      <c r="C264" s="2" t="s">
        <v>543</v>
      </c>
      <c r="D264" s="1" t="s">
        <v>544</v>
      </c>
      <c r="E264" s="0" t="n">
        <v>1596.20863647943</v>
      </c>
      <c r="F264" s="0" t="n">
        <v>1864.88817279891</v>
      </c>
      <c r="G264" s="0" t="n">
        <v>3160.12671702393</v>
      </c>
      <c r="H264" s="0" t="n">
        <v>3200.59357252556</v>
      </c>
      <c r="I264" s="0" t="n">
        <v>3360.73167257508</v>
      </c>
      <c r="J264" s="0" t="n">
        <v>3549.24377853522</v>
      </c>
      <c r="K264" s="0" t="n">
        <v>3579.88525825715</v>
      </c>
      <c r="L264" s="0" t="n">
        <v>3602.24060144735</v>
      </c>
      <c r="M264" s="0" t="n">
        <v>3655.49796557944</v>
      </c>
      <c r="N264" s="0" t="n">
        <v>3740.15942504601</v>
      </c>
      <c r="O264" s="0" t="n">
        <v>3821.45249379578</v>
      </c>
      <c r="P264" s="0" t="n">
        <v>3700.30829080147</v>
      </c>
    </row>
    <row r="265" customFormat="false" ht="14.25" hidden="false" customHeight="false" outlineLevel="0" collapsed="false">
      <c r="A265" s="0" t="s">
        <v>16</v>
      </c>
      <c r="B265" s="1" t="s">
        <v>17</v>
      </c>
      <c r="C265" s="2" t="s">
        <v>545</v>
      </c>
      <c r="D265" s="1" t="s">
        <v>546</v>
      </c>
      <c r="E265" s="0" t="n">
        <v>1597.16317297873</v>
      </c>
      <c r="F265" s="0" t="n">
        <v>1866.31289124982</v>
      </c>
      <c r="G265" s="0" t="n">
        <v>3161.72575283078</v>
      </c>
      <c r="H265" s="0" t="n">
        <v>3202.24277919275</v>
      </c>
      <c r="I265" s="0" t="n">
        <v>3362.43294958324</v>
      </c>
      <c r="J265" s="0" t="n">
        <v>3551.02286109239</v>
      </c>
      <c r="K265" s="0" t="n">
        <v>3581.6705895919</v>
      </c>
      <c r="L265" s="0" t="n">
        <v>3604.10245365934</v>
      </c>
      <c r="M265" s="0" t="n">
        <v>3657.46616067448</v>
      </c>
      <c r="N265" s="0" t="n">
        <v>3742.2176680881</v>
      </c>
      <c r="O265" s="0" t="n">
        <v>3823.55244218584</v>
      </c>
      <c r="P265" s="0" t="n">
        <v>3702.09395959794</v>
      </c>
    </row>
    <row r="266" customFormat="false" ht="14.25" hidden="false" customHeight="false" outlineLevel="0" collapsed="false">
      <c r="A266" s="0" t="s">
        <v>16</v>
      </c>
      <c r="B266" s="1" t="s">
        <v>17</v>
      </c>
      <c r="C266" s="2" t="s">
        <v>547</v>
      </c>
      <c r="D266" s="1" t="s">
        <v>548</v>
      </c>
      <c r="E266" s="0" t="n">
        <v>3186.42246235667</v>
      </c>
      <c r="F266" s="0" t="n">
        <v>5054.73760602845</v>
      </c>
      <c r="G266" s="0" t="n">
        <v>12539.0947259308</v>
      </c>
      <c r="H266" s="0" t="n">
        <v>13404.2015251712</v>
      </c>
      <c r="I266" s="0" t="n">
        <v>14100.6647131197</v>
      </c>
      <c r="J266" s="0" t="n">
        <v>14660.3763707432</v>
      </c>
      <c r="K266" s="0" t="n">
        <v>14726.8471130231</v>
      </c>
      <c r="L266" s="0" t="n">
        <v>15179.7895716333</v>
      </c>
      <c r="M266" s="0" t="n">
        <v>16029.8298502093</v>
      </c>
      <c r="N266" s="0" t="n">
        <v>17039.6910101353</v>
      </c>
      <c r="O266" s="0" t="n">
        <v>17884.1080169751</v>
      </c>
      <c r="P266" s="0" t="n">
        <v>17790.3610077316</v>
      </c>
    </row>
    <row r="267" customFormat="false" ht="14.25" hidden="false" customHeight="false" outlineLevel="0" collapsed="false">
      <c r="A267" s="0" t="s">
        <v>16</v>
      </c>
      <c r="B267" s="1" t="s">
        <v>17</v>
      </c>
      <c r="C267" s="2" t="s">
        <v>549</v>
      </c>
      <c r="D267" s="1" t="s">
        <v>550</v>
      </c>
      <c r="E267" s="0" t="n">
        <v>5473.18542948339</v>
      </c>
      <c r="F267" s="0" t="n">
        <v>7968.34896880121</v>
      </c>
      <c r="G267" s="0" t="n">
        <v>13521.9371426683</v>
      </c>
      <c r="H267" s="0" t="n">
        <v>14097.213634704</v>
      </c>
      <c r="I267" s="0" t="n">
        <v>14590.3612335383</v>
      </c>
      <c r="J267" s="0" t="n">
        <v>15012.7740164378</v>
      </c>
      <c r="K267" s="0" t="n">
        <v>15142.6521662252</v>
      </c>
      <c r="L267" s="0" t="n">
        <v>15531.7887321881</v>
      </c>
      <c r="M267" s="0" t="n">
        <v>16210.1606218985</v>
      </c>
      <c r="N267" s="0" t="n">
        <v>16963.6757552599</v>
      </c>
      <c r="O267" s="0" t="n">
        <v>17535.3650450915</v>
      </c>
      <c r="P267" s="2" t="s">
        <v>20</v>
      </c>
    </row>
    <row r="268" customFormat="false" ht="14.25" hidden="false" customHeight="false" outlineLevel="0" collapsed="false">
      <c r="B268" s="1"/>
      <c r="D268" s="1"/>
    </row>
    <row r="269" customFormat="false" ht="14.25" hidden="false" customHeight="false" outlineLevel="0" collapsed="false">
      <c r="B269" s="1"/>
      <c r="D269" s="1"/>
    </row>
    <row r="270" customFormat="false" ht="14.25" hidden="false" customHeight="false" outlineLevel="0" collapsed="false">
      <c r="B270" s="1"/>
      <c r="D270" s="1"/>
    </row>
    <row r="271" customFormat="false" ht="14.25" hidden="false" customHeight="false" outlineLevel="0" collapsed="false">
      <c r="A271" s="0" t="s">
        <v>551</v>
      </c>
      <c r="B271" s="1"/>
      <c r="D271" s="1"/>
    </row>
    <row r="272" customFormat="false" ht="14.25" hidden="false" customHeight="false" outlineLevel="0" collapsed="false">
      <c r="A272" s="0" t="s">
        <v>552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3" activeCellId="0" sqref="J13"/>
    </sheetView>
  </sheetViews>
  <sheetFormatPr defaultColWidth="8.55078125" defaultRowHeight="14.25" zeroHeight="false" outlineLevelRow="0" outlineLevelCol="0"/>
  <cols>
    <col collapsed="false" customWidth="true" hidden="false" outlineLevel="0" max="1" min="1" style="0" width="45.22"/>
    <col collapsed="false" customWidth="true" hidden="false" outlineLevel="0" max="2" min="2" style="0" width="12.89"/>
    <col collapsed="false" customWidth="true" hidden="false" outlineLevel="0" max="3" min="3" style="0" width="45.22"/>
    <col collapsed="false" customWidth="true" hidden="false" outlineLevel="0" max="4" min="4" style="0" width="12.89"/>
    <col collapsed="false" customWidth="true" hidden="false" outlineLevel="0" max="5" min="5" style="0" width="45.22"/>
  </cols>
  <sheetData>
    <row r="1" customFormat="false" ht="14.25" hidden="false" customHeight="false" outlineLevel="0" collapsed="false">
      <c r="A1" s="0" t="s">
        <v>2</v>
      </c>
      <c r="B1" s="0" t="s">
        <v>5</v>
      </c>
      <c r="C1" s="0" t="s">
        <v>2</v>
      </c>
      <c r="D1" s="0" t="s">
        <v>6</v>
      </c>
      <c r="E1" s="0" t="s">
        <v>2</v>
      </c>
      <c r="F1" s="0" t="s">
        <v>14</v>
      </c>
    </row>
    <row r="2" customFormat="false" ht="14.25" hidden="false" customHeight="false" outlineLevel="0" collapsed="false">
      <c r="A2" s="0" t="s">
        <v>107</v>
      </c>
      <c r="B2" s="0" t="n">
        <v>440</v>
      </c>
      <c r="C2" s="0" t="s">
        <v>107</v>
      </c>
      <c r="D2" s="0" t="n">
        <v>640</v>
      </c>
      <c r="E2" s="0" t="s">
        <v>81</v>
      </c>
      <c r="F2" s="0" t="n">
        <v>790</v>
      </c>
    </row>
    <row r="3" customFormat="false" ht="14.25" hidden="false" customHeight="false" outlineLevel="0" collapsed="false">
      <c r="A3" s="0" t="s">
        <v>287</v>
      </c>
      <c r="B3" s="0" t="n">
        <v>460</v>
      </c>
      <c r="C3" s="0" t="s">
        <v>81</v>
      </c>
      <c r="D3" s="0" t="n">
        <v>680</v>
      </c>
      <c r="E3" s="0" t="s">
        <v>93</v>
      </c>
      <c r="F3" s="0" t="n">
        <v>1060</v>
      </c>
    </row>
    <row r="4" customFormat="false" ht="14.25" hidden="false" customHeight="false" outlineLevel="0" collapsed="false">
      <c r="A4" s="0" t="s">
        <v>147</v>
      </c>
      <c r="B4" s="0" t="n">
        <v>480</v>
      </c>
      <c r="C4" s="0" t="s">
        <v>287</v>
      </c>
      <c r="D4" s="0" t="n">
        <v>1000</v>
      </c>
      <c r="E4" s="0" t="s">
        <v>107</v>
      </c>
      <c r="F4" s="0" t="n">
        <v>1110</v>
      </c>
    </row>
    <row r="5" customFormat="false" ht="14.25" hidden="false" customHeight="false" outlineLevel="0" collapsed="false">
      <c r="A5" s="0" t="s">
        <v>81</v>
      </c>
      <c r="B5" s="0" t="n">
        <v>540</v>
      </c>
      <c r="C5" s="0" t="s">
        <v>93</v>
      </c>
      <c r="D5" s="0" t="n">
        <v>1020</v>
      </c>
      <c r="E5" s="0" t="s">
        <v>287</v>
      </c>
      <c r="F5" s="0" t="n">
        <v>1310</v>
      </c>
    </row>
    <row r="6" customFormat="false" ht="14.25" hidden="false" customHeight="false" outlineLevel="0" collapsed="false">
      <c r="A6" s="0" t="s">
        <v>343</v>
      </c>
      <c r="B6" s="0" t="n">
        <v>630</v>
      </c>
      <c r="C6" s="0" t="s">
        <v>243</v>
      </c>
      <c r="D6" s="0" t="n">
        <v>1040</v>
      </c>
      <c r="E6" s="0" t="s">
        <v>243</v>
      </c>
      <c r="F6" s="0" t="n">
        <v>1320</v>
      </c>
    </row>
    <row r="7" customFormat="false" ht="14.25" hidden="false" customHeight="false" outlineLevel="0" collapsed="false">
      <c r="A7" s="0" t="s">
        <v>93</v>
      </c>
      <c r="B7" s="0" t="n">
        <v>660</v>
      </c>
      <c r="C7" s="0" t="s">
        <v>257</v>
      </c>
      <c r="D7" s="0" t="n">
        <v>1050</v>
      </c>
      <c r="E7" s="0" t="s">
        <v>305</v>
      </c>
      <c r="F7" s="0" t="n">
        <v>1330</v>
      </c>
    </row>
    <row r="8" customFormat="false" ht="14.25" hidden="false" customHeight="false" outlineLevel="0" collapsed="false">
      <c r="A8" s="0" t="s">
        <v>257</v>
      </c>
      <c r="B8" s="0" t="n">
        <v>670</v>
      </c>
      <c r="C8" s="0" t="s">
        <v>151</v>
      </c>
      <c r="D8" s="0" t="n">
        <v>1130</v>
      </c>
      <c r="E8" s="0" t="s">
        <v>257</v>
      </c>
      <c r="F8" s="0" t="n">
        <v>1550</v>
      </c>
    </row>
    <row r="9" customFormat="false" ht="14.25" hidden="false" customHeight="false" outlineLevel="0" collapsed="false">
      <c r="A9" s="0" t="s">
        <v>359</v>
      </c>
      <c r="B9" s="0" t="n">
        <v>670</v>
      </c>
      <c r="C9" s="0" t="s">
        <v>305</v>
      </c>
      <c r="D9" s="0" t="n">
        <v>1140</v>
      </c>
      <c r="E9" s="0" t="s">
        <v>95</v>
      </c>
      <c r="F9" s="0" t="n">
        <v>1620</v>
      </c>
    </row>
    <row r="10" customFormat="false" ht="14.25" hidden="false" customHeight="false" outlineLevel="0" collapsed="false">
      <c r="A10" s="0" t="s">
        <v>95</v>
      </c>
      <c r="B10" s="0" t="n">
        <v>760</v>
      </c>
      <c r="C10" s="0" t="s">
        <v>359</v>
      </c>
      <c r="D10" s="0" t="n">
        <v>1190</v>
      </c>
      <c r="E10" s="0" t="s">
        <v>255</v>
      </c>
      <c r="F10" s="0" t="n">
        <v>1620</v>
      </c>
    </row>
    <row r="11" customFormat="false" ht="14.25" hidden="false" customHeight="false" outlineLevel="0" collapsed="false">
      <c r="A11" s="0" t="s">
        <v>305</v>
      </c>
      <c r="B11" s="0" t="n">
        <v>810</v>
      </c>
      <c r="C11" s="0" t="s">
        <v>407</v>
      </c>
      <c r="D11" s="0" t="n">
        <v>1280</v>
      </c>
      <c r="E11" s="0" t="s">
        <v>359</v>
      </c>
      <c r="F11" s="0" t="n">
        <v>1770</v>
      </c>
    </row>
    <row r="12" customFormat="false" ht="14.25" hidden="false" customHeight="false" outlineLevel="0" collapsed="false">
      <c r="A12" s="0" t="s">
        <v>243</v>
      </c>
      <c r="B12" s="0" t="n">
        <v>880</v>
      </c>
      <c r="C12" s="0" t="s">
        <v>343</v>
      </c>
      <c r="D12" s="0" t="n">
        <v>1440</v>
      </c>
      <c r="E12" s="0" t="s">
        <v>183</v>
      </c>
      <c r="F12" s="0" t="n">
        <v>2060</v>
      </c>
    </row>
    <row r="13" customFormat="false" ht="14.25" hidden="false" customHeight="false" outlineLevel="0" collapsed="false">
      <c r="A13" s="0" t="s">
        <v>79</v>
      </c>
      <c r="B13" s="0" t="n">
        <v>920</v>
      </c>
      <c r="C13" s="0" t="s">
        <v>185</v>
      </c>
      <c r="D13" s="0" t="n">
        <v>1450</v>
      </c>
      <c r="E13" s="0" t="s">
        <v>79</v>
      </c>
      <c r="F13" s="0" t="n">
        <v>2180</v>
      </c>
    </row>
    <row r="14" customFormat="false" ht="14.25" hidden="false" customHeight="false" outlineLevel="0" collapsed="false">
      <c r="A14" s="0" t="s">
        <v>289</v>
      </c>
      <c r="B14" s="0" t="n">
        <v>920</v>
      </c>
      <c r="C14" s="0" t="s">
        <v>79</v>
      </c>
      <c r="D14" s="0" t="n">
        <v>1520</v>
      </c>
      <c r="E14" s="0" t="s">
        <v>407</v>
      </c>
      <c r="F14" s="0" t="n">
        <v>2220</v>
      </c>
    </row>
    <row r="15" customFormat="false" ht="14.25" hidden="false" customHeight="false" outlineLevel="0" collapsed="false">
      <c r="A15" s="0" t="s">
        <v>407</v>
      </c>
      <c r="B15" s="0" t="n">
        <v>950</v>
      </c>
      <c r="C15" s="0" t="s">
        <v>255</v>
      </c>
      <c r="D15" s="0" t="n">
        <v>1530</v>
      </c>
      <c r="E15" s="0" t="s">
        <v>423</v>
      </c>
      <c r="F15" s="0" t="n">
        <v>2220</v>
      </c>
    </row>
    <row r="16" customFormat="false" ht="14.25" hidden="false" customHeight="false" outlineLevel="0" collapsed="false">
      <c r="A16" s="0" t="s">
        <v>399</v>
      </c>
      <c r="B16" s="0" t="n">
        <v>1000</v>
      </c>
      <c r="C16" s="0" t="s">
        <v>183</v>
      </c>
      <c r="D16" s="0" t="n">
        <v>1710</v>
      </c>
      <c r="E16" s="0" t="s">
        <v>343</v>
      </c>
      <c r="F16" s="0" t="n">
        <v>2240</v>
      </c>
    </row>
    <row r="17" customFormat="false" ht="14.25" hidden="false" customHeight="false" outlineLevel="0" collapsed="false">
      <c r="A17" s="0" t="s">
        <v>85</v>
      </c>
      <c r="B17" s="0" t="n">
        <v>1040</v>
      </c>
      <c r="C17" s="0" t="s">
        <v>95</v>
      </c>
      <c r="D17" s="0" t="n">
        <v>1750</v>
      </c>
      <c r="E17" s="0" t="s">
        <v>161</v>
      </c>
      <c r="F17" s="0" t="n">
        <v>2280</v>
      </c>
    </row>
    <row r="18" customFormat="false" ht="14.25" hidden="false" customHeight="false" outlineLevel="0" collapsed="false">
      <c r="A18" s="0" t="s">
        <v>183</v>
      </c>
      <c r="B18" s="0" t="n">
        <v>1040</v>
      </c>
      <c r="C18" s="0" t="s">
        <v>263</v>
      </c>
      <c r="D18" s="0" t="n">
        <v>1760</v>
      </c>
      <c r="E18" s="0" t="s">
        <v>147</v>
      </c>
      <c r="F18" s="0" t="n">
        <v>2300</v>
      </c>
    </row>
    <row r="19" customFormat="false" ht="14.25" hidden="false" customHeight="false" outlineLevel="0" collapsed="false">
      <c r="A19" s="0" t="s">
        <v>509</v>
      </c>
      <c r="B19" s="0" t="n">
        <v>1088.39093283118</v>
      </c>
      <c r="C19" s="0" t="s">
        <v>509</v>
      </c>
      <c r="D19" s="0" t="n">
        <v>1795.54164879399</v>
      </c>
      <c r="E19" s="0" t="s">
        <v>263</v>
      </c>
      <c r="F19" s="0" t="n">
        <v>2330</v>
      </c>
    </row>
    <row r="20" customFormat="false" ht="14.25" hidden="false" customHeight="false" outlineLevel="0" collapsed="false">
      <c r="A20" s="0" t="s">
        <v>263</v>
      </c>
      <c r="B20" s="0" t="n">
        <v>1120</v>
      </c>
      <c r="C20" s="0" t="s">
        <v>451</v>
      </c>
      <c r="D20" s="0" t="n">
        <v>1800</v>
      </c>
      <c r="E20" s="0" t="s">
        <v>509</v>
      </c>
      <c r="F20" s="0" t="n">
        <v>2465.45052219414</v>
      </c>
    </row>
    <row r="21" customFormat="false" ht="14.25" hidden="false" customHeight="false" outlineLevel="0" collapsed="false">
      <c r="A21" s="0" t="s">
        <v>423</v>
      </c>
      <c r="B21" s="0" t="n">
        <v>1120</v>
      </c>
      <c r="C21" s="0" t="s">
        <v>483</v>
      </c>
      <c r="D21" s="0" t="n">
        <v>1906.32634684487</v>
      </c>
      <c r="E21" s="0" t="s">
        <v>181</v>
      </c>
      <c r="F21" s="0" t="n">
        <v>2540</v>
      </c>
    </row>
    <row r="22" customFormat="false" ht="14.25" hidden="false" customHeight="false" outlineLevel="0" collapsed="false">
      <c r="A22" s="0" t="s">
        <v>483</v>
      </c>
      <c r="B22" s="0" t="n">
        <v>1173.12165477999</v>
      </c>
      <c r="C22" s="0" t="s">
        <v>369</v>
      </c>
      <c r="D22" s="0" t="n">
        <v>2160</v>
      </c>
      <c r="E22" s="0" t="s">
        <v>483</v>
      </c>
      <c r="F22" s="0" t="n">
        <v>2628.26101312338</v>
      </c>
    </row>
    <row r="23" customFormat="false" ht="14.25" hidden="false" customHeight="false" outlineLevel="0" collapsed="false">
      <c r="A23" s="0" t="s">
        <v>505</v>
      </c>
      <c r="B23" s="0" t="n">
        <v>1174.65732173108</v>
      </c>
      <c r="C23" s="0" t="s">
        <v>163</v>
      </c>
      <c r="D23" s="0" t="n">
        <v>2170</v>
      </c>
      <c r="E23" s="0" t="s">
        <v>369</v>
      </c>
      <c r="F23" s="0" t="n">
        <v>2740</v>
      </c>
    </row>
    <row r="24" customFormat="false" ht="14.25" hidden="false" customHeight="false" outlineLevel="0" collapsed="false">
      <c r="A24" s="0" t="s">
        <v>401</v>
      </c>
      <c r="B24" s="0" t="n">
        <v>1180</v>
      </c>
      <c r="C24" s="0" t="s">
        <v>401</v>
      </c>
      <c r="D24" s="0" t="n">
        <v>2190</v>
      </c>
      <c r="E24" s="0" t="s">
        <v>401</v>
      </c>
      <c r="F24" s="0" t="n">
        <v>2810</v>
      </c>
    </row>
    <row r="25" customFormat="false" ht="14.25" hidden="false" customHeight="false" outlineLevel="0" collapsed="false">
      <c r="A25" s="0" t="s">
        <v>181</v>
      </c>
      <c r="B25" s="0" t="n">
        <v>1200</v>
      </c>
      <c r="C25" s="0" t="s">
        <v>505</v>
      </c>
      <c r="D25" s="0" t="n">
        <v>2204.51152982956</v>
      </c>
      <c r="E25" s="0" t="s">
        <v>187</v>
      </c>
      <c r="F25" s="0" t="n">
        <v>3040</v>
      </c>
    </row>
    <row r="26" customFormat="false" ht="14.25" hidden="false" customHeight="false" outlineLevel="0" collapsed="false">
      <c r="A26" s="0" t="s">
        <v>255</v>
      </c>
      <c r="B26" s="0" t="n">
        <v>1270</v>
      </c>
      <c r="C26" s="0" t="s">
        <v>423</v>
      </c>
      <c r="D26" s="0" t="n">
        <v>2220</v>
      </c>
      <c r="E26" s="0" t="s">
        <v>241</v>
      </c>
      <c r="F26" s="0" t="n">
        <v>3060</v>
      </c>
    </row>
    <row r="27" customFormat="false" ht="14.25" hidden="false" customHeight="false" outlineLevel="0" collapsed="false">
      <c r="A27" s="0" t="s">
        <v>493</v>
      </c>
      <c r="B27" s="0" t="n">
        <v>1293.52051542563</v>
      </c>
      <c r="C27" s="0" t="s">
        <v>295</v>
      </c>
      <c r="D27" s="0" t="n">
        <v>2300</v>
      </c>
      <c r="E27" s="0" t="s">
        <v>451</v>
      </c>
      <c r="F27" s="0" t="n">
        <v>3100</v>
      </c>
    </row>
    <row r="28" customFormat="false" ht="14.25" hidden="false" customHeight="false" outlineLevel="0" collapsed="false">
      <c r="A28" s="0" t="s">
        <v>295</v>
      </c>
      <c r="B28" s="0" t="n">
        <v>1360</v>
      </c>
      <c r="C28" s="0" t="s">
        <v>113</v>
      </c>
      <c r="D28" s="0" t="n">
        <v>2310</v>
      </c>
      <c r="E28" s="0" t="s">
        <v>505</v>
      </c>
      <c r="F28" s="0" t="n">
        <v>3135.37802837617</v>
      </c>
    </row>
    <row r="29" customFormat="false" ht="14.25" hidden="false" customHeight="false" outlineLevel="0" collapsed="false">
      <c r="A29" s="0" t="s">
        <v>49</v>
      </c>
      <c r="B29" s="0" t="n">
        <v>1370</v>
      </c>
      <c r="C29" s="0" t="s">
        <v>493</v>
      </c>
      <c r="D29" s="0" t="n">
        <v>2323.52025005709</v>
      </c>
      <c r="E29" s="0" t="s">
        <v>109</v>
      </c>
      <c r="F29" s="0" t="n">
        <v>3140</v>
      </c>
    </row>
    <row r="30" customFormat="false" ht="14.25" hidden="false" customHeight="false" outlineLevel="0" collapsed="false">
      <c r="A30" s="0" t="s">
        <v>449</v>
      </c>
      <c r="B30" s="0" t="n">
        <v>1570</v>
      </c>
      <c r="C30" s="0" t="s">
        <v>105</v>
      </c>
      <c r="D30" s="0" t="n">
        <v>2340</v>
      </c>
      <c r="E30" s="0" t="s">
        <v>105</v>
      </c>
      <c r="F30" s="0" t="n">
        <v>3200</v>
      </c>
    </row>
    <row r="31" customFormat="false" ht="14.25" hidden="false" customHeight="false" outlineLevel="0" collapsed="false">
      <c r="A31" s="0" t="s">
        <v>221</v>
      </c>
      <c r="B31" s="0" t="n">
        <v>1600</v>
      </c>
      <c r="C31" s="0" t="s">
        <v>59</v>
      </c>
      <c r="D31" s="0" t="n">
        <v>2410</v>
      </c>
      <c r="E31" s="0" t="s">
        <v>59</v>
      </c>
      <c r="F31" s="0" t="n">
        <v>3390</v>
      </c>
    </row>
    <row r="32" customFormat="false" ht="14.25" hidden="false" customHeight="false" outlineLevel="0" collapsed="false">
      <c r="A32" s="0" t="s">
        <v>241</v>
      </c>
      <c r="B32" s="0" t="n">
        <v>1600</v>
      </c>
      <c r="C32" s="0" t="s">
        <v>223</v>
      </c>
      <c r="D32" s="0" t="n">
        <v>2430</v>
      </c>
      <c r="E32" s="0" t="s">
        <v>353</v>
      </c>
      <c r="F32" s="0" t="n">
        <v>3410</v>
      </c>
    </row>
    <row r="33" customFormat="false" ht="14.25" hidden="false" customHeight="false" outlineLevel="0" collapsed="false">
      <c r="A33" s="0" t="s">
        <v>369</v>
      </c>
      <c r="B33" s="0" t="n">
        <v>1620</v>
      </c>
      <c r="C33" s="0" t="s">
        <v>221</v>
      </c>
      <c r="D33" s="0" t="n">
        <v>2440</v>
      </c>
      <c r="E33" s="0" t="s">
        <v>437</v>
      </c>
      <c r="F33" s="0" t="n">
        <v>3440</v>
      </c>
    </row>
    <row r="34" customFormat="false" ht="14.25" hidden="false" customHeight="false" outlineLevel="0" collapsed="false">
      <c r="A34" s="0" t="s">
        <v>495</v>
      </c>
      <c r="B34" s="0" t="n">
        <v>1623.84843190361</v>
      </c>
      <c r="C34" s="0" t="s">
        <v>85</v>
      </c>
      <c r="D34" s="0" t="n">
        <v>2490</v>
      </c>
      <c r="E34" s="0" t="s">
        <v>493</v>
      </c>
      <c r="F34" s="0" t="n">
        <v>3473.34315967948</v>
      </c>
    </row>
    <row r="35" customFormat="false" ht="14.25" hidden="false" customHeight="false" outlineLevel="0" collapsed="false">
      <c r="A35" s="0" t="s">
        <v>167</v>
      </c>
      <c r="B35" s="0" t="n">
        <v>1740</v>
      </c>
      <c r="C35" s="0" t="s">
        <v>353</v>
      </c>
      <c r="D35" s="0" t="n">
        <v>2630</v>
      </c>
      <c r="E35" s="0" t="s">
        <v>533</v>
      </c>
      <c r="F35" s="0" t="n">
        <v>3557.86668986623</v>
      </c>
    </row>
    <row r="36" customFormat="false" ht="14.25" hidden="false" customHeight="false" outlineLevel="0" collapsed="false">
      <c r="A36" s="0" t="s">
        <v>389</v>
      </c>
      <c r="B36" s="0" t="n">
        <v>1740</v>
      </c>
      <c r="C36" s="0" t="s">
        <v>241</v>
      </c>
      <c r="D36" s="0" t="n">
        <v>2740</v>
      </c>
      <c r="E36" s="0" t="s">
        <v>449</v>
      </c>
      <c r="F36" s="0" t="n">
        <v>3560</v>
      </c>
    </row>
    <row r="37" customFormat="false" ht="14.25" hidden="false" customHeight="false" outlineLevel="0" collapsed="false">
      <c r="A37" s="0" t="s">
        <v>59</v>
      </c>
      <c r="B37" s="0" t="n">
        <v>1750</v>
      </c>
      <c r="C37" s="0" t="s">
        <v>87</v>
      </c>
      <c r="D37" s="0" t="n">
        <v>2750</v>
      </c>
      <c r="E37" s="0" t="s">
        <v>453</v>
      </c>
      <c r="F37" s="0" t="n">
        <v>3589.9560432148</v>
      </c>
    </row>
    <row r="38" customFormat="false" ht="14.25" hidden="false" customHeight="false" outlineLevel="0" collapsed="false">
      <c r="A38" s="0" t="s">
        <v>233</v>
      </c>
      <c r="B38" s="0" t="n">
        <v>1750</v>
      </c>
      <c r="C38" s="0" t="s">
        <v>437</v>
      </c>
      <c r="D38" s="0" t="n">
        <v>2760</v>
      </c>
      <c r="E38" s="0" t="s">
        <v>87</v>
      </c>
      <c r="F38" s="0" t="n">
        <v>3720</v>
      </c>
    </row>
    <row r="39" customFormat="false" ht="14.25" hidden="false" customHeight="false" outlineLevel="0" collapsed="false">
      <c r="A39" s="0" t="s">
        <v>235</v>
      </c>
      <c r="B39" s="0" t="n">
        <v>1760</v>
      </c>
      <c r="C39" s="0" t="s">
        <v>323</v>
      </c>
      <c r="D39" s="0" t="n">
        <v>2780</v>
      </c>
      <c r="E39" s="0" t="s">
        <v>543</v>
      </c>
      <c r="F39" s="0" t="n">
        <v>3821.45249379578</v>
      </c>
    </row>
    <row r="40" customFormat="false" ht="14.25" hidden="false" customHeight="false" outlineLevel="0" collapsed="false">
      <c r="A40" s="0" t="s">
        <v>405</v>
      </c>
      <c r="B40" s="0" t="n">
        <v>1780</v>
      </c>
      <c r="C40" s="0" t="s">
        <v>189</v>
      </c>
      <c r="D40" s="0" t="n">
        <v>2810</v>
      </c>
      <c r="E40" s="0" t="s">
        <v>545</v>
      </c>
      <c r="F40" s="0" t="n">
        <v>3823.55244218584</v>
      </c>
    </row>
    <row r="41" customFormat="false" ht="14.25" hidden="false" customHeight="false" outlineLevel="0" collapsed="false">
      <c r="A41" s="0" t="s">
        <v>105</v>
      </c>
      <c r="B41" s="0" t="n">
        <v>1800</v>
      </c>
      <c r="C41" s="0" t="s">
        <v>49</v>
      </c>
      <c r="D41" s="0" t="n">
        <v>2830</v>
      </c>
      <c r="E41" s="0" t="s">
        <v>541</v>
      </c>
      <c r="F41" s="0" t="n">
        <v>3823.55244218584</v>
      </c>
    </row>
    <row r="42" customFormat="false" ht="14.25" hidden="false" customHeight="false" outlineLevel="0" collapsed="false">
      <c r="A42" s="0" t="s">
        <v>455</v>
      </c>
      <c r="B42" s="0" t="n">
        <v>1808.31748696858</v>
      </c>
      <c r="C42" s="0" t="s">
        <v>495</v>
      </c>
      <c r="D42" s="0" t="n">
        <v>2911.47026769898</v>
      </c>
      <c r="E42" s="0" t="s">
        <v>495</v>
      </c>
      <c r="F42" s="0" t="n">
        <v>3960.61810746256</v>
      </c>
    </row>
    <row r="43" customFormat="false" ht="14.25" hidden="false" customHeight="false" outlineLevel="0" collapsed="false">
      <c r="A43" s="0" t="s">
        <v>161</v>
      </c>
      <c r="B43" s="0" t="n">
        <v>1810</v>
      </c>
      <c r="C43" s="0" t="s">
        <v>233</v>
      </c>
      <c r="D43" s="0" t="n">
        <v>2950</v>
      </c>
      <c r="E43" s="0" t="s">
        <v>275</v>
      </c>
      <c r="F43" s="0" t="n">
        <v>4100</v>
      </c>
    </row>
    <row r="44" customFormat="false" ht="14.25" hidden="false" customHeight="false" outlineLevel="0" collapsed="false">
      <c r="A44" s="0" t="s">
        <v>87</v>
      </c>
      <c r="B44" s="0" t="n">
        <v>1830</v>
      </c>
      <c r="C44" s="0" t="s">
        <v>453</v>
      </c>
      <c r="D44" s="0" t="n">
        <v>2992.91512697012</v>
      </c>
      <c r="E44" s="0" t="s">
        <v>389</v>
      </c>
      <c r="F44" s="0" t="n">
        <v>4140</v>
      </c>
    </row>
    <row r="45" customFormat="false" ht="14.25" hidden="false" customHeight="false" outlineLevel="0" collapsed="false">
      <c r="A45" s="0" t="s">
        <v>543</v>
      </c>
      <c r="B45" s="0" t="n">
        <v>1864.88817279891</v>
      </c>
      <c r="C45" s="0" t="s">
        <v>533</v>
      </c>
      <c r="D45" s="0" t="n">
        <v>3121.13080361132</v>
      </c>
      <c r="E45" s="0" t="s">
        <v>295</v>
      </c>
      <c r="F45" s="0" t="n">
        <v>4160</v>
      </c>
    </row>
    <row r="46" customFormat="false" ht="14.25" hidden="false" customHeight="false" outlineLevel="0" collapsed="false">
      <c r="A46" s="0" t="s">
        <v>541</v>
      </c>
      <c r="B46" s="0" t="n">
        <v>1866.31289124982</v>
      </c>
      <c r="C46" s="0" t="s">
        <v>449</v>
      </c>
      <c r="D46" s="0" t="n">
        <v>3160</v>
      </c>
      <c r="E46" s="0" t="s">
        <v>455</v>
      </c>
      <c r="F46" s="0" t="n">
        <v>4167.62498972404</v>
      </c>
    </row>
    <row r="47" customFormat="false" ht="14.25" hidden="false" customHeight="false" outlineLevel="0" collapsed="false">
      <c r="A47" s="0" t="s">
        <v>545</v>
      </c>
      <c r="B47" s="0" t="n">
        <v>1866.31289124982</v>
      </c>
      <c r="C47" s="0" t="s">
        <v>543</v>
      </c>
      <c r="D47" s="0" t="n">
        <v>3160.12671702393</v>
      </c>
      <c r="E47" s="0" t="s">
        <v>85</v>
      </c>
      <c r="F47" s="0" t="n">
        <v>4310</v>
      </c>
    </row>
    <row r="48" customFormat="false" ht="14.25" hidden="false" customHeight="false" outlineLevel="0" collapsed="false">
      <c r="A48" s="0" t="s">
        <v>533</v>
      </c>
      <c r="B48" s="0" t="n">
        <v>1871.519338117</v>
      </c>
      <c r="C48" s="0" t="s">
        <v>541</v>
      </c>
      <c r="D48" s="0" t="n">
        <v>3161.72575283078</v>
      </c>
      <c r="E48" s="0" t="s">
        <v>399</v>
      </c>
      <c r="F48" s="0" t="n">
        <v>4330</v>
      </c>
    </row>
    <row r="49" customFormat="false" ht="14.25" hidden="false" customHeight="false" outlineLevel="0" collapsed="false">
      <c r="A49" s="0" t="s">
        <v>453</v>
      </c>
      <c r="B49" s="0" t="n">
        <v>1904.29732037533</v>
      </c>
      <c r="C49" s="0" t="s">
        <v>545</v>
      </c>
      <c r="D49" s="0" t="n">
        <v>3161.72575283078</v>
      </c>
      <c r="E49" s="0" t="s">
        <v>323</v>
      </c>
      <c r="F49" s="0" t="n">
        <v>4340</v>
      </c>
    </row>
    <row r="50" customFormat="false" ht="14.25" hidden="false" customHeight="false" outlineLevel="0" collapsed="false">
      <c r="A50" s="0" t="s">
        <v>353</v>
      </c>
      <c r="B50" s="0" t="n">
        <v>1970</v>
      </c>
      <c r="C50" s="0" t="s">
        <v>399</v>
      </c>
      <c r="D50" s="0" t="n">
        <v>3180</v>
      </c>
      <c r="E50" s="0" t="s">
        <v>221</v>
      </c>
      <c r="F50" s="0" t="n">
        <v>4420</v>
      </c>
    </row>
    <row r="51" customFormat="false" ht="14.25" hidden="false" customHeight="false" outlineLevel="0" collapsed="false">
      <c r="A51" s="0" t="s">
        <v>323</v>
      </c>
      <c r="B51" s="0" t="n">
        <v>2000</v>
      </c>
      <c r="C51" s="0" t="s">
        <v>175</v>
      </c>
      <c r="D51" s="0" t="n">
        <v>3270</v>
      </c>
      <c r="E51" s="0" t="s">
        <v>223</v>
      </c>
      <c r="F51" s="0" t="n">
        <v>4640</v>
      </c>
    </row>
    <row r="52" customFormat="false" ht="14.25" hidden="false" customHeight="false" outlineLevel="0" collapsed="false">
      <c r="A52" s="0" t="s">
        <v>537</v>
      </c>
      <c r="B52" s="0" t="n">
        <v>2061.64976186785</v>
      </c>
      <c r="C52" s="0" t="s">
        <v>455</v>
      </c>
      <c r="D52" s="0" t="n">
        <v>3410.62032032872</v>
      </c>
      <c r="E52" s="0" t="s">
        <v>481</v>
      </c>
      <c r="F52" s="0" t="n">
        <v>4723.34146073294</v>
      </c>
    </row>
    <row r="53" customFormat="false" ht="14.25" hidden="false" customHeight="false" outlineLevel="0" collapsed="false">
      <c r="A53" s="0" t="s">
        <v>539</v>
      </c>
      <c r="B53" s="0" t="n">
        <v>2061.64976186785</v>
      </c>
      <c r="C53" s="0" t="s">
        <v>389</v>
      </c>
      <c r="D53" s="0" t="n">
        <v>3430</v>
      </c>
      <c r="E53" s="0" t="s">
        <v>317</v>
      </c>
      <c r="F53" s="0" t="n">
        <v>4790</v>
      </c>
    </row>
    <row r="54" customFormat="false" ht="14.25" hidden="false" customHeight="false" outlineLevel="0" collapsed="false">
      <c r="A54" s="0" t="s">
        <v>197</v>
      </c>
      <c r="B54" s="0" t="n">
        <v>2070</v>
      </c>
      <c r="C54" s="0" t="s">
        <v>289</v>
      </c>
      <c r="D54" s="0" t="n">
        <v>3470</v>
      </c>
      <c r="E54" s="0" t="s">
        <v>491</v>
      </c>
      <c r="F54" s="0" t="n">
        <v>4958.85595592564</v>
      </c>
    </row>
    <row r="55" customFormat="false" ht="14.25" hidden="false" customHeight="false" outlineLevel="0" collapsed="false">
      <c r="A55" s="0" t="s">
        <v>113</v>
      </c>
      <c r="B55" s="0" t="n">
        <v>2080</v>
      </c>
      <c r="C55" s="0" t="s">
        <v>275</v>
      </c>
      <c r="D55" s="0" t="n">
        <v>3530</v>
      </c>
      <c r="E55" s="0" t="s">
        <v>405</v>
      </c>
      <c r="F55" s="0" t="n">
        <v>4960</v>
      </c>
    </row>
    <row r="56" customFormat="false" ht="14.25" hidden="false" customHeight="false" outlineLevel="0" collapsed="false">
      <c r="A56" s="0" t="s">
        <v>307</v>
      </c>
      <c r="B56" s="0" t="n">
        <v>2090</v>
      </c>
      <c r="C56" s="0" t="s">
        <v>191</v>
      </c>
      <c r="D56" s="0" t="n">
        <v>3720</v>
      </c>
      <c r="E56" s="0" t="s">
        <v>233</v>
      </c>
      <c r="F56" s="0" t="n">
        <v>5000</v>
      </c>
    </row>
    <row r="57" customFormat="false" ht="14.25" hidden="false" customHeight="false" outlineLevel="0" collapsed="false">
      <c r="A57" s="0" t="s">
        <v>187</v>
      </c>
      <c r="B57" s="0" t="n">
        <v>2100</v>
      </c>
      <c r="C57" s="0" t="s">
        <v>235</v>
      </c>
      <c r="D57" s="0" t="n">
        <v>3870</v>
      </c>
      <c r="E57" s="0" t="s">
        <v>267</v>
      </c>
      <c r="F57" s="0" t="n">
        <v>5130</v>
      </c>
    </row>
    <row r="58" customFormat="false" ht="14.25" hidden="false" customHeight="false" outlineLevel="0" collapsed="false">
      <c r="A58" s="0" t="s">
        <v>437</v>
      </c>
      <c r="B58" s="0" t="n">
        <v>2120</v>
      </c>
      <c r="C58" s="0" t="s">
        <v>317</v>
      </c>
      <c r="D58" s="0" t="n">
        <v>3940</v>
      </c>
      <c r="E58" s="0" t="s">
        <v>289</v>
      </c>
      <c r="F58" s="0" t="n">
        <v>5150</v>
      </c>
    </row>
    <row r="59" customFormat="false" ht="14.25" hidden="false" customHeight="false" outlineLevel="0" collapsed="false">
      <c r="A59" s="0" t="s">
        <v>441</v>
      </c>
      <c r="B59" s="0" t="n">
        <v>2120</v>
      </c>
      <c r="C59" s="0" t="s">
        <v>267</v>
      </c>
      <c r="D59" s="0" t="n">
        <v>3950</v>
      </c>
      <c r="E59" s="0" t="s">
        <v>307</v>
      </c>
      <c r="F59" s="0" t="n">
        <v>5180</v>
      </c>
    </row>
    <row r="60" customFormat="false" ht="14.25" hidden="false" customHeight="false" outlineLevel="0" collapsed="false">
      <c r="A60" s="0" t="s">
        <v>451</v>
      </c>
      <c r="B60" s="0" t="n">
        <v>2190</v>
      </c>
      <c r="C60" s="0" t="s">
        <v>481</v>
      </c>
      <c r="D60" s="0" t="n">
        <v>4034.07752936399</v>
      </c>
      <c r="E60" s="0" t="s">
        <v>49</v>
      </c>
      <c r="F60" s="0" t="n">
        <v>5190</v>
      </c>
    </row>
    <row r="61" customFormat="false" ht="14.25" hidden="false" customHeight="false" outlineLevel="0" collapsed="false">
      <c r="A61" s="0" t="s">
        <v>491</v>
      </c>
      <c r="B61" s="0" t="n">
        <v>2267.16738004535</v>
      </c>
      <c r="C61" s="0" t="s">
        <v>491</v>
      </c>
      <c r="D61" s="0" t="n">
        <v>4058.347745499</v>
      </c>
      <c r="E61" s="0" t="s">
        <v>113</v>
      </c>
      <c r="F61" s="0" t="n">
        <v>5290</v>
      </c>
    </row>
    <row r="62" customFormat="false" ht="14.25" hidden="false" customHeight="false" outlineLevel="0" collapsed="false">
      <c r="A62" s="0" t="s">
        <v>435</v>
      </c>
      <c r="B62" s="0" t="n">
        <v>2450</v>
      </c>
      <c r="C62" s="0" t="s">
        <v>269</v>
      </c>
      <c r="D62" s="0" t="n">
        <v>4120</v>
      </c>
      <c r="E62" s="0" t="s">
        <v>269</v>
      </c>
      <c r="F62" s="0" t="n">
        <v>5350</v>
      </c>
    </row>
    <row r="63" customFormat="false" ht="14.25" hidden="false" customHeight="false" outlineLevel="0" collapsed="false">
      <c r="A63" s="0" t="s">
        <v>481</v>
      </c>
      <c r="B63" s="0" t="n">
        <v>2487.13392674508</v>
      </c>
      <c r="C63" s="0" t="s">
        <v>303</v>
      </c>
      <c r="D63" s="0" t="n">
        <v>4150</v>
      </c>
      <c r="E63" s="0" t="s">
        <v>303</v>
      </c>
      <c r="F63" s="0" t="n">
        <v>5470</v>
      </c>
    </row>
    <row r="64" customFormat="false" ht="14.25" hidden="false" customHeight="false" outlineLevel="0" collapsed="false">
      <c r="A64" s="0" t="s">
        <v>189</v>
      </c>
      <c r="B64" s="0" t="n">
        <v>2510</v>
      </c>
      <c r="C64" s="0" t="s">
        <v>539</v>
      </c>
      <c r="D64" s="0" t="n">
        <v>4223.54971238188</v>
      </c>
      <c r="E64" s="0" t="s">
        <v>167</v>
      </c>
      <c r="F64" s="0" t="n">
        <v>5480</v>
      </c>
    </row>
    <row r="65" customFormat="false" ht="14.25" hidden="false" customHeight="false" outlineLevel="0" collapsed="false">
      <c r="A65" s="0" t="s">
        <v>275</v>
      </c>
      <c r="B65" s="0" t="n">
        <v>2550</v>
      </c>
      <c r="C65" s="0" t="s">
        <v>537</v>
      </c>
      <c r="D65" s="0" t="n">
        <v>4223.54971238188</v>
      </c>
      <c r="E65" s="0" t="s">
        <v>189</v>
      </c>
      <c r="F65" s="0" t="n">
        <v>5520</v>
      </c>
    </row>
    <row r="66" customFormat="false" ht="14.25" hidden="false" customHeight="false" outlineLevel="0" collapsed="false">
      <c r="A66" s="0" t="s">
        <v>317</v>
      </c>
      <c r="B66" s="0" t="n">
        <v>2560</v>
      </c>
      <c r="C66" s="0" t="s">
        <v>441</v>
      </c>
      <c r="D66" s="0" t="n">
        <v>4330</v>
      </c>
      <c r="E66" s="0" t="s">
        <v>29</v>
      </c>
      <c r="F66" s="0" t="n">
        <v>6370</v>
      </c>
    </row>
    <row r="67" customFormat="false" ht="14.25" hidden="false" customHeight="false" outlineLevel="0" collapsed="false">
      <c r="A67" s="0" t="s">
        <v>223</v>
      </c>
      <c r="B67" s="0" t="n">
        <v>2570</v>
      </c>
      <c r="C67" s="0" t="s">
        <v>199</v>
      </c>
      <c r="D67" s="0" t="n">
        <v>4450</v>
      </c>
      <c r="E67" s="0" t="s">
        <v>537</v>
      </c>
      <c r="F67" s="0" t="n">
        <v>6462.56987707023</v>
      </c>
    </row>
    <row r="68" customFormat="false" ht="14.25" hidden="false" customHeight="false" outlineLevel="0" collapsed="false">
      <c r="A68" s="0" t="s">
        <v>303</v>
      </c>
      <c r="B68" s="0" t="n">
        <v>2670</v>
      </c>
      <c r="C68" s="0" t="s">
        <v>307</v>
      </c>
      <c r="D68" s="0" t="n">
        <v>4650</v>
      </c>
      <c r="E68" s="0" t="s">
        <v>539</v>
      </c>
      <c r="F68" s="0" t="n">
        <v>6462.56987707023</v>
      </c>
    </row>
    <row r="69" customFormat="false" ht="14.25" hidden="false" customHeight="false" outlineLevel="0" collapsed="false">
      <c r="A69" s="0" t="s">
        <v>63</v>
      </c>
      <c r="B69" s="0" t="n">
        <v>2690</v>
      </c>
      <c r="C69" s="0" t="s">
        <v>445</v>
      </c>
      <c r="D69" s="0" t="n">
        <v>4780</v>
      </c>
      <c r="E69" s="0" t="s">
        <v>197</v>
      </c>
      <c r="F69" s="0" t="n">
        <v>6930</v>
      </c>
    </row>
    <row r="70" customFormat="false" ht="14.25" hidden="false" customHeight="false" outlineLevel="0" collapsed="false">
      <c r="A70" s="0" t="s">
        <v>109</v>
      </c>
      <c r="B70" s="0" t="n">
        <v>2710</v>
      </c>
      <c r="C70" s="0" t="s">
        <v>109</v>
      </c>
      <c r="D70" s="0" t="n">
        <v>4890</v>
      </c>
      <c r="E70" s="0" t="s">
        <v>57</v>
      </c>
      <c r="F70" s="0" t="n">
        <v>6960</v>
      </c>
    </row>
    <row r="71" customFormat="false" ht="14.25" hidden="false" customHeight="false" outlineLevel="0" collapsed="false">
      <c r="A71" s="0" t="s">
        <v>35</v>
      </c>
      <c r="B71" s="0" t="n">
        <v>2740</v>
      </c>
      <c r="C71" s="0" t="s">
        <v>529</v>
      </c>
      <c r="D71" s="0" t="n">
        <v>5162.18690411915</v>
      </c>
      <c r="E71" s="0" t="s">
        <v>409</v>
      </c>
      <c r="F71" s="0" t="n">
        <v>6980</v>
      </c>
    </row>
    <row r="72" customFormat="false" ht="14.25" hidden="false" customHeight="false" outlineLevel="0" collapsed="false">
      <c r="A72" s="0" t="s">
        <v>511</v>
      </c>
      <c r="B72" s="0" t="n">
        <v>2777.25859363688</v>
      </c>
      <c r="C72" s="0" t="s">
        <v>409</v>
      </c>
      <c r="D72" s="0" t="n">
        <v>5190</v>
      </c>
      <c r="E72" s="0" t="s">
        <v>83</v>
      </c>
      <c r="F72" s="0" t="n">
        <v>7320</v>
      </c>
    </row>
    <row r="73" customFormat="false" ht="14.25" hidden="false" customHeight="false" outlineLevel="0" collapsed="false">
      <c r="A73" s="0" t="s">
        <v>29</v>
      </c>
      <c r="B73" s="0" t="n">
        <v>2790</v>
      </c>
      <c r="C73" s="0" t="s">
        <v>65</v>
      </c>
      <c r="D73" s="0" t="n">
        <v>5240</v>
      </c>
      <c r="E73" s="0" t="s">
        <v>511</v>
      </c>
      <c r="F73" s="0" t="n">
        <v>7323.23993903519</v>
      </c>
    </row>
    <row r="74" customFormat="false" ht="14.25" hidden="false" customHeight="false" outlineLevel="0" collapsed="false">
      <c r="A74" s="0" t="s">
        <v>101</v>
      </c>
      <c r="B74" s="0" t="n">
        <v>2890</v>
      </c>
      <c r="C74" s="0" t="s">
        <v>511</v>
      </c>
      <c r="D74" s="0" t="n">
        <v>5357.8864343736</v>
      </c>
      <c r="E74" s="0" t="s">
        <v>435</v>
      </c>
      <c r="F74" s="0" t="n">
        <v>7400</v>
      </c>
    </row>
    <row r="75" customFormat="false" ht="14.25" hidden="false" customHeight="false" outlineLevel="0" collapsed="false">
      <c r="A75" s="0" t="s">
        <v>83</v>
      </c>
      <c r="B75" s="0" t="n">
        <v>2960</v>
      </c>
      <c r="C75" s="0" t="s">
        <v>435</v>
      </c>
      <c r="D75" s="0" t="n">
        <v>5600</v>
      </c>
      <c r="E75" s="0" t="s">
        <v>529</v>
      </c>
      <c r="F75" s="0" t="n">
        <v>7419.74114467201</v>
      </c>
    </row>
    <row r="76" customFormat="false" ht="14.25" hidden="false" customHeight="false" outlineLevel="0" collapsed="false">
      <c r="A76" s="0" t="s">
        <v>269</v>
      </c>
      <c r="B76" s="0" t="n">
        <v>3070</v>
      </c>
      <c r="C76" s="0" t="s">
        <v>83</v>
      </c>
      <c r="D76" s="0" t="n">
        <v>5730</v>
      </c>
      <c r="E76" s="0" t="s">
        <v>445</v>
      </c>
      <c r="F76" s="0" t="n">
        <v>7660</v>
      </c>
    </row>
    <row r="77" customFormat="false" ht="14.25" hidden="false" customHeight="false" outlineLevel="0" collapsed="false">
      <c r="A77" s="0" t="s">
        <v>445</v>
      </c>
      <c r="B77" s="0" t="n">
        <v>3100</v>
      </c>
      <c r="C77" s="0" t="s">
        <v>29</v>
      </c>
      <c r="D77" s="0" t="n">
        <v>6130</v>
      </c>
      <c r="E77" s="0" t="s">
        <v>285</v>
      </c>
      <c r="F77" s="0" t="n">
        <v>7700</v>
      </c>
    </row>
    <row r="78" customFormat="false" ht="14.25" hidden="false" customHeight="false" outlineLevel="0" collapsed="false">
      <c r="A78" s="0" t="s">
        <v>163</v>
      </c>
      <c r="B78" s="0" t="n">
        <v>3140</v>
      </c>
      <c r="C78" s="0" t="s">
        <v>139</v>
      </c>
      <c r="D78" s="0" t="n">
        <v>6270</v>
      </c>
      <c r="E78" s="0" t="s">
        <v>235</v>
      </c>
      <c r="F78" s="0" t="n">
        <v>7730</v>
      </c>
    </row>
    <row r="79" customFormat="false" ht="14.25" hidden="false" customHeight="false" outlineLevel="0" collapsed="false">
      <c r="A79" s="0" t="s">
        <v>267</v>
      </c>
      <c r="B79" s="0" t="n">
        <v>3180</v>
      </c>
      <c r="C79" s="0" t="s">
        <v>329</v>
      </c>
      <c r="D79" s="0" t="n">
        <v>6500</v>
      </c>
      <c r="E79" s="0" t="s">
        <v>441</v>
      </c>
      <c r="F79" s="0" t="n">
        <v>7890</v>
      </c>
    </row>
    <row r="80" customFormat="false" ht="14.25" hidden="false" customHeight="false" outlineLevel="0" collapsed="false">
      <c r="A80" s="0" t="s">
        <v>43</v>
      </c>
      <c r="B80" s="0" t="n">
        <v>3220</v>
      </c>
      <c r="C80" s="0" t="s">
        <v>285</v>
      </c>
      <c r="D80" s="0" t="n">
        <v>6600</v>
      </c>
      <c r="E80" s="0" t="s">
        <v>145</v>
      </c>
      <c r="F80" s="0" t="n">
        <v>8080</v>
      </c>
    </row>
    <row r="81" customFormat="false" ht="14.25" hidden="false" customHeight="false" outlineLevel="0" collapsed="false">
      <c r="A81" s="0" t="s">
        <v>467</v>
      </c>
      <c r="B81" s="0" t="n">
        <v>3233.94064276253</v>
      </c>
      <c r="C81" s="0" t="s">
        <v>181</v>
      </c>
      <c r="D81" s="0" t="n">
        <v>6720</v>
      </c>
      <c r="E81" s="0" t="s">
        <v>137</v>
      </c>
      <c r="F81" s="0" t="n">
        <v>8710</v>
      </c>
    </row>
    <row r="82" customFormat="false" ht="14.25" hidden="false" customHeight="false" outlineLevel="0" collapsed="false">
      <c r="A82" s="0" t="s">
        <v>277</v>
      </c>
      <c r="B82" s="0" t="n">
        <v>3240</v>
      </c>
      <c r="C82" s="0" t="s">
        <v>63</v>
      </c>
      <c r="D82" s="0" t="n">
        <v>6830</v>
      </c>
      <c r="E82" s="0" t="s">
        <v>179</v>
      </c>
      <c r="F82" s="0" t="n">
        <v>8850</v>
      </c>
    </row>
    <row r="83" customFormat="false" ht="14.25" hidden="false" customHeight="false" outlineLevel="0" collapsed="false">
      <c r="A83" s="0" t="s">
        <v>469</v>
      </c>
      <c r="B83" s="0" t="n">
        <v>3269.18281542278</v>
      </c>
      <c r="C83" s="0" t="s">
        <v>57</v>
      </c>
      <c r="D83" s="0" t="n">
        <v>7170</v>
      </c>
      <c r="E83" s="0" t="s">
        <v>65</v>
      </c>
      <c r="F83" s="0" t="n">
        <v>8910</v>
      </c>
    </row>
    <row r="84" customFormat="false" ht="14.25" hidden="false" customHeight="false" outlineLevel="0" collapsed="false">
      <c r="A84" s="0" t="s">
        <v>65</v>
      </c>
      <c r="B84" s="0" t="n">
        <v>3350</v>
      </c>
      <c r="C84" s="0" t="s">
        <v>463</v>
      </c>
      <c r="D84" s="0" t="n">
        <v>7274.76294467887</v>
      </c>
      <c r="E84" s="0" t="s">
        <v>463</v>
      </c>
      <c r="F84" s="0" t="n">
        <v>9568.5416258184</v>
      </c>
    </row>
    <row r="85" customFormat="false" ht="14.25" hidden="false" customHeight="false" outlineLevel="0" collapsed="false">
      <c r="A85" s="0" t="s">
        <v>285</v>
      </c>
      <c r="B85" s="0" t="n">
        <v>3510</v>
      </c>
      <c r="C85" s="0" t="s">
        <v>277</v>
      </c>
      <c r="D85" s="0" t="n">
        <v>7390</v>
      </c>
      <c r="E85" s="0" t="s">
        <v>213</v>
      </c>
      <c r="F85" s="0" t="n">
        <v>9930</v>
      </c>
    </row>
    <row r="86" customFormat="false" ht="14.25" hidden="false" customHeight="false" outlineLevel="0" collapsed="false">
      <c r="A86" s="0" t="s">
        <v>507</v>
      </c>
      <c r="B86" s="0" t="n">
        <v>3635.37090148572</v>
      </c>
      <c r="C86" s="0" t="s">
        <v>147</v>
      </c>
      <c r="D86" s="0" t="n">
        <v>7570</v>
      </c>
      <c r="E86" s="0" t="s">
        <v>291</v>
      </c>
      <c r="F86" s="0" t="n">
        <v>10010</v>
      </c>
    </row>
    <row r="87" customFormat="false" ht="14.25" hidden="false" customHeight="false" outlineLevel="0" collapsed="false">
      <c r="A87" s="0" t="s">
        <v>409</v>
      </c>
      <c r="B87" s="0" t="n">
        <v>3700</v>
      </c>
      <c r="C87" s="0" t="s">
        <v>213</v>
      </c>
      <c r="D87" s="0" t="n">
        <v>7870</v>
      </c>
      <c r="E87" s="0" t="s">
        <v>329</v>
      </c>
      <c r="F87" s="0" t="n">
        <v>10220</v>
      </c>
    </row>
    <row r="88" customFormat="false" ht="14.25" hidden="false" customHeight="false" outlineLevel="0" collapsed="false">
      <c r="A88" s="0" t="s">
        <v>281</v>
      </c>
      <c r="B88" s="0" t="n">
        <v>3710</v>
      </c>
      <c r="C88" s="0" t="s">
        <v>507</v>
      </c>
      <c r="D88" s="0" t="n">
        <v>7952.31820517052</v>
      </c>
      <c r="E88" s="0" t="s">
        <v>217</v>
      </c>
      <c r="F88" s="0" t="n">
        <v>10500</v>
      </c>
    </row>
    <row r="89" customFormat="false" ht="14.25" hidden="false" customHeight="false" outlineLevel="0" collapsed="false">
      <c r="A89" s="0" t="s">
        <v>329</v>
      </c>
      <c r="B89" s="0" t="n">
        <v>3760</v>
      </c>
      <c r="C89" s="0" t="s">
        <v>153</v>
      </c>
      <c r="D89" s="0" t="n">
        <v>8010</v>
      </c>
      <c r="E89" s="0" t="s">
        <v>413</v>
      </c>
      <c r="F89" s="0" t="n">
        <v>10720</v>
      </c>
    </row>
    <row r="90" customFormat="false" ht="14.25" hidden="false" customHeight="false" outlineLevel="0" collapsed="false">
      <c r="A90" s="0" t="s">
        <v>489</v>
      </c>
      <c r="B90" s="0" t="n">
        <v>3766.4271708583</v>
      </c>
      <c r="C90" s="0" t="s">
        <v>165</v>
      </c>
      <c r="D90" s="0" t="n">
        <v>8120</v>
      </c>
      <c r="E90" s="0" t="s">
        <v>515</v>
      </c>
      <c r="F90" s="0" t="n">
        <v>10881.1754387587</v>
      </c>
    </row>
    <row r="91" customFormat="false" ht="14.25" hidden="false" customHeight="false" outlineLevel="0" collapsed="false">
      <c r="A91" s="0" t="s">
        <v>519</v>
      </c>
      <c r="B91" s="0" t="n">
        <v>3853.5942109133</v>
      </c>
      <c r="C91" s="0" t="s">
        <v>489</v>
      </c>
      <c r="D91" s="0" t="n">
        <v>8158.52112544106</v>
      </c>
      <c r="E91" s="0" t="s">
        <v>517</v>
      </c>
      <c r="F91" s="0" t="n">
        <v>10918.79613426</v>
      </c>
    </row>
    <row r="92" customFormat="false" ht="14.25" hidden="false" customHeight="false" outlineLevel="0" collapsed="false">
      <c r="A92" s="0" t="s">
        <v>529</v>
      </c>
      <c r="B92" s="0" t="n">
        <v>3979.6622209527</v>
      </c>
      <c r="C92" s="0" t="s">
        <v>281</v>
      </c>
      <c r="D92" s="0" t="n">
        <v>8180</v>
      </c>
      <c r="E92" s="0" t="s">
        <v>507</v>
      </c>
      <c r="F92" s="0" t="n">
        <v>10929.344088831</v>
      </c>
    </row>
    <row r="93" customFormat="false" ht="14.25" hidden="false" customHeight="false" outlineLevel="0" collapsed="false">
      <c r="A93" s="0" t="s">
        <v>21</v>
      </c>
      <c r="B93" s="0" t="n">
        <v>3980</v>
      </c>
      <c r="C93" s="0" t="s">
        <v>35</v>
      </c>
      <c r="D93" s="0" t="n">
        <v>8310</v>
      </c>
      <c r="E93" s="0" t="s">
        <v>203</v>
      </c>
      <c r="F93" s="0" t="n">
        <v>10950</v>
      </c>
    </row>
    <row r="94" customFormat="false" ht="14.25" hidden="false" customHeight="false" outlineLevel="0" collapsed="false">
      <c r="A94" s="0" t="s">
        <v>425</v>
      </c>
      <c r="B94" s="0" t="n">
        <v>3980</v>
      </c>
      <c r="C94" s="0" t="s">
        <v>519</v>
      </c>
      <c r="D94" s="0" t="n">
        <v>8571.24959941202</v>
      </c>
      <c r="E94" s="0" t="s">
        <v>489</v>
      </c>
      <c r="F94" s="0" t="n">
        <v>11207.7983962944</v>
      </c>
    </row>
    <row r="95" customFormat="false" ht="14.25" hidden="false" customHeight="false" outlineLevel="0" collapsed="false">
      <c r="A95" s="0" t="s">
        <v>463</v>
      </c>
      <c r="B95" s="0" t="n">
        <v>4071.40048250297</v>
      </c>
      <c r="C95" s="0" t="s">
        <v>291</v>
      </c>
      <c r="D95" s="0" t="n">
        <v>8590</v>
      </c>
      <c r="E95" s="0" t="s">
        <v>63</v>
      </c>
      <c r="F95" s="0" t="n">
        <v>11210</v>
      </c>
    </row>
    <row r="96" customFormat="false" ht="14.25" hidden="false" customHeight="false" outlineLevel="0" collapsed="false">
      <c r="A96" s="0" t="s">
        <v>417</v>
      </c>
      <c r="B96" s="0" t="n">
        <v>4120</v>
      </c>
      <c r="C96" s="0" t="s">
        <v>425</v>
      </c>
      <c r="D96" s="0" t="n">
        <v>8700</v>
      </c>
      <c r="E96" s="0" t="s">
        <v>281</v>
      </c>
      <c r="F96" s="0" t="n">
        <v>11400</v>
      </c>
    </row>
    <row r="97" customFormat="false" ht="14.25" hidden="false" customHeight="false" outlineLevel="0" collapsed="false">
      <c r="A97" s="0" t="s">
        <v>379</v>
      </c>
      <c r="B97" s="0" t="n">
        <v>4270</v>
      </c>
      <c r="C97" s="0" t="s">
        <v>201</v>
      </c>
      <c r="D97" s="0" t="n">
        <v>8840</v>
      </c>
      <c r="E97" s="0" t="s">
        <v>133</v>
      </c>
      <c r="F97" s="0" t="n">
        <v>11520</v>
      </c>
    </row>
    <row r="98" customFormat="false" ht="14.25" hidden="false" customHeight="false" outlineLevel="0" collapsed="false">
      <c r="A98" s="0" t="s">
        <v>137</v>
      </c>
      <c r="B98" s="0" t="n">
        <v>4350</v>
      </c>
      <c r="C98" s="0" t="s">
        <v>379</v>
      </c>
      <c r="D98" s="0" t="n">
        <v>8920</v>
      </c>
      <c r="E98" s="0" t="s">
        <v>23</v>
      </c>
      <c r="F98" s="0" t="n">
        <v>11700</v>
      </c>
    </row>
    <row r="99" customFormat="false" ht="14.25" hidden="false" customHeight="false" outlineLevel="0" collapsed="false">
      <c r="A99" s="0" t="s">
        <v>487</v>
      </c>
      <c r="B99" s="0" t="n">
        <v>4353.3843336936</v>
      </c>
      <c r="C99" s="0" t="s">
        <v>405</v>
      </c>
      <c r="D99" s="0" t="n">
        <v>9080</v>
      </c>
      <c r="E99" s="0" t="s">
        <v>135</v>
      </c>
      <c r="F99" s="0" t="n">
        <v>11820</v>
      </c>
    </row>
    <row r="100" customFormat="false" ht="14.25" hidden="false" customHeight="false" outlineLevel="0" collapsed="false">
      <c r="A100" s="0" t="s">
        <v>199</v>
      </c>
      <c r="B100" s="0" t="n">
        <v>4430</v>
      </c>
      <c r="C100" s="0" t="s">
        <v>217</v>
      </c>
      <c r="D100" s="0" t="n">
        <v>9320</v>
      </c>
      <c r="E100" s="0" t="s">
        <v>519</v>
      </c>
      <c r="F100" s="0" t="n">
        <v>11892.5021087704</v>
      </c>
    </row>
    <row r="101" customFormat="false" ht="14.25" hidden="false" customHeight="false" outlineLevel="0" collapsed="false">
      <c r="A101" s="0" t="s">
        <v>497</v>
      </c>
      <c r="B101" s="0" t="n">
        <v>4675.43567881177</v>
      </c>
      <c r="C101" s="0" t="s">
        <v>137</v>
      </c>
      <c r="D101" s="0" t="n">
        <v>9440</v>
      </c>
      <c r="E101" s="0" t="s">
        <v>199</v>
      </c>
      <c r="F101" s="0" t="n">
        <v>11940</v>
      </c>
    </row>
    <row r="102" customFormat="false" ht="14.25" hidden="false" customHeight="false" outlineLevel="0" collapsed="false">
      <c r="A102" s="0" t="s">
        <v>179</v>
      </c>
      <c r="B102" s="0" t="n">
        <v>4700</v>
      </c>
      <c r="C102" s="0" t="s">
        <v>467</v>
      </c>
      <c r="D102" s="0" t="n">
        <v>9456.8945169127</v>
      </c>
      <c r="E102" s="0" t="s">
        <v>129</v>
      </c>
      <c r="F102" s="0" t="n">
        <v>12200</v>
      </c>
    </row>
    <row r="103" customFormat="false" ht="14.25" hidden="false" customHeight="false" outlineLevel="0" collapsed="false">
      <c r="A103" s="0" t="s">
        <v>145</v>
      </c>
      <c r="B103" s="0" t="n">
        <v>4810</v>
      </c>
      <c r="C103" s="0" t="s">
        <v>469</v>
      </c>
      <c r="D103" s="0" t="n">
        <v>9558.1787309287</v>
      </c>
      <c r="E103" s="0" t="s">
        <v>373</v>
      </c>
      <c r="F103" s="0" t="n">
        <v>12640</v>
      </c>
    </row>
    <row r="104" customFormat="false" ht="14.25" hidden="false" customHeight="false" outlineLevel="0" collapsed="false">
      <c r="A104" s="0" t="s">
        <v>327</v>
      </c>
      <c r="B104" s="0" t="n">
        <v>4930</v>
      </c>
      <c r="C104" s="0" t="s">
        <v>413</v>
      </c>
      <c r="D104" s="0" t="n">
        <v>9590</v>
      </c>
      <c r="E104" s="0" t="s">
        <v>325</v>
      </c>
      <c r="F104" s="0" t="n">
        <v>12760</v>
      </c>
    </row>
    <row r="105" customFormat="false" ht="14.25" hidden="false" customHeight="false" outlineLevel="0" collapsed="false">
      <c r="A105" s="0" t="s">
        <v>67</v>
      </c>
      <c r="B105" s="0" t="n">
        <v>5040</v>
      </c>
      <c r="C105" s="0" t="s">
        <v>135</v>
      </c>
      <c r="D105" s="0" t="n">
        <v>9700</v>
      </c>
      <c r="E105" s="0" t="s">
        <v>327</v>
      </c>
      <c r="F105" s="0" t="n">
        <v>12820</v>
      </c>
    </row>
    <row r="106" customFormat="false" ht="14.25" hidden="false" customHeight="false" outlineLevel="0" collapsed="false">
      <c r="A106" s="0" t="s">
        <v>57</v>
      </c>
      <c r="B106" s="0" t="n">
        <v>5210</v>
      </c>
      <c r="C106" s="0" t="s">
        <v>327</v>
      </c>
      <c r="D106" s="0" t="n">
        <v>9700</v>
      </c>
      <c r="E106" s="0" t="s">
        <v>387</v>
      </c>
      <c r="F106" s="0" t="n">
        <v>12910</v>
      </c>
    </row>
    <row r="107" customFormat="false" ht="14.25" hidden="false" customHeight="false" outlineLevel="0" collapsed="false">
      <c r="A107" s="0" t="s">
        <v>291</v>
      </c>
      <c r="B107" s="0" t="n">
        <v>5230</v>
      </c>
      <c r="C107" s="0" t="s">
        <v>487</v>
      </c>
      <c r="D107" s="0" t="n">
        <v>9808.34976571584</v>
      </c>
      <c r="E107" s="0" t="s">
        <v>201</v>
      </c>
      <c r="F107" s="0" t="n">
        <v>12920</v>
      </c>
    </row>
    <row r="108" customFormat="false" ht="14.25" hidden="false" customHeight="false" outlineLevel="0" collapsed="false">
      <c r="A108" s="0" t="s">
        <v>133</v>
      </c>
      <c r="B108" s="0" t="n">
        <v>5450</v>
      </c>
      <c r="C108" s="0" t="s">
        <v>187</v>
      </c>
      <c r="D108" s="0" t="n">
        <v>9960</v>
      </c>
      <c r="E108" s="0" t="s">
        <v>151</v>
      </c>
      <c r="F108" s="0" t="n">
        <v>13090</v>
      </c>
    </row>
    <row r="109" customFormat="false" ht="14.25" hidden="false" customHeight="false" outlineLevel="0" collapsed="false">
      <c r="A109" s="0" t="s">
        <v>465</v>
      </c>
      <c r="B109" s="0" t="n">
        <v>5694.79646154542</v>
      </c>
      <c r="C109" s="0" t="s">
        <v>131</v>
      </c>
      <c r="D109" s="0" t="n">
        <v>9980</v>
      </c>
      <c r="E109" s="0" t="s">
        <v>379</v>
      </c>
      <c r="F109" s="0" t="n">
        <v>13230</v>
      </c>
    </row>
    <row r="110" customFormat="false" ht="14.25" hidden="false" customHeight="false" outlineLevel="0" collapsed="false">
      <c r="A110" s="0" t="s">
        <v>413</v>
      </c>
      <c r="B110" s="0" t="n">
        <v>5720</v>
      </c>
      <c r="C110" s="0" t="s">
        <v>67</v>
      </c>
      <c r="D110" s="0" t="n">
        <v>10060</v>
      </c>
      <c r="E110" s="0" t="s">
        <v>185</v>
      </c>
      <c r="F110" s="0" t="n">
        <v>13510</v>
      </c>
    </row>
    <row r="111" customFormat="false" ht="14.25" hidden="false" customHeight="false" outlineLevel="0" collapsed="false">
      <c r="A111" s="0" t="s">
        <v>129</v>
      </c>
      <c r="B111" s="0" t="n">
        <v>5750</v>
      </c>
      <c r="C111" s="0" t="s">
        <v>387</v>
      </c>
      <c r="D111" s="0" t="n">
        <v>10110</v>
      </c>
      <c r="E111" s="0" t="s">
        <v>487</v>
      </c>
      <c r="F111" s="0" t="n">
        <v>13741.4365431469</v>
      </c>
    </row>
    <row r="112" customFormat="false" ht="14.25" hidden="false" customHeight="false" outlineLevel="0" collapsed="false">
      <c r="A112" s="0" t="s">
        <v>53</v>
      </c>
      <c r="B112" s="0" t="n">
        <v>5780</v>
      </c>
      <c r="C112" s="0" t="s">
        <v>325</v>
      </c>
      <c r="D112" s="0" t="n">
        <v>10130</v>
      </c>
      <c r="E112" s="0" t="s">
        <v>425</v>
      </c>
      <c r="F112" s="0" t="n">
        <v>13750</v>
      </c>
    </row>
    <row r="113" customFormat="false" ht="14.25" hidden="false" customHeight="false" outlineLevel="0" collapsed="false">
      <c r="A113" s="0" t="s">
        <v>339</v>
      </c>
      <c r="B113" s="0" t="n">
        <v>5810</v>
      </c>
      <c r="C113" s="0" t="s">
        <v>101</v>
      </c>
      <c r="D113" s="0" t="n">
        <v>10200</v>
      </c>
      <c r="E113" s="0" t="s">
        <v>21</v>
      </c>
      <c r="F113" s="0" t="n">
        <v>14040</v>
      </c>
    </row>
    <row r="114" customFormat="false" ht="14.25" hidden="false" customHeight="false" outlineLevel="0" collapsed="false">
      <c r="A114" s="0" t="s">
        <v>135</v>
      </c>
      <c r="B114" s="0" t="n">
        <v>5820</v>
      </c>
      <c r="C114" s="0" t="s">
        <v>417</v>
      </c>
      <c r="D114" s="0" t="n">
        <v>10200</v>
      </c>
      <c r="E114" s="0" t="s">
        <v>139</v>
      </c>
      <c r="F114" s="0" t="n">
        <v>14070</v>
      </c>
    </row>
    <row r="115" customFormat="false" ht="14.25" hidden="false" customHeight="false" outlineLevel="0" collapsed="false">
      <c r="A115" s="0" t="s">
        <v>325</v>
      </c>
      <c r="B115" s="0" t="n">
        <v>5820</v>
      </c>
      <c r="C115" s="0" t="s">
        <v>21</v>
      </c>
      <c r="D115" s="0" t="n">
        <v>10210</v>
      </c>
      <c r="E115" s="0" t="s">
        <v>277</v>
      </c>
      <c r="F115" s="0" t="n">
        <v>14280</v>
      </c>
    </row>
    <row r="116" customFormat="false" ht="14.25" hidden="false" customHeight="false" outlineLevel="0" collapsed="false">
      <c r="A116" s="0" t="s">
        <v>185</v>
      </c>
      <c r="B116" s="0" t="n">
        <v>5870</v>
      </c>
      <c r="C116" s="0" t="s">
        <v>179</v>
      </c>
      <c r="D116" s="0" t="n">
        <v>10660</v>
      </c>
      <c r="E116" s="0" t="s">
        <v>159</v>
      </c>
      <c r="F116" s="0" t="n">
        <v>14320</v>
      </c>
    </row>
    <row r="117" customFormat="false" ht="14.25" hidden="false" customHeight="false" outlineLevel="0" collapsed="false">
      <c r="A117" s="0" t="s">
        <v>139</v>
      </c>
      <c r="B117" s="0" t="n">
        <v>5890</v>
      </c>
      <c r="C117" s="0" t="s">
        <v>103</v>
      </c>
      <c r="D117" s="0" t="n">
        <v>11110</v>
      </c>
      <c r="E117" s="0" t="s">
        <v>43</v>
      </c>
      <c r="F117" s="0" t="n">
        <v>14410</v>
      </c>
    </row>
    <row r="118" customFormat="false" ht="14.25" hidden="false" customHeight="false" outlineLevel="0" collapsed="false">
      <c r="A118" s="0" t="s">
        <v>387</v>
      </c>
      <c r="B118" s="0" t="n">
        <v>5920</v>
      </c>
      <c r="C118" s="0" t="s">
        <v>515</v>
      </c>
      <c r="D118" s="0" t="n">
        <v>11383.194668394</v>
      </c>
      <c r="E118" s="0" t="s">
        <v>35</v>
      </c>
      <c r="F118" s="0" t="n">
        <v>14470</v>
      </c>
    </row>
    <row r="119" customFormat="false" ht="14.25" hidden="false" customHeight="false" outlineLevel="0" collapsed="false">
      <c r="A119" s="0" t="s">
        <v>151</v>
      </c>
      <c r="B119" s="0" t="n">
        <v>5950</v>
      </c>
      <c r="C119" s="0" t="s">
        <v>309</v>
      </c>
      <c r="D119" s="0" t="n">
        <v>11400</v>
      </c>
      <c r="E119" s="0" t="s">
        <v>163</v>
      </c>
      <c r="F119" s="0" t="n">
        <v>14930</v>
      </c>
    </row>
    <row r="120" customFormat="false" ht="14.25" hidden="false" customHeight="false" outlineLevel="0" collapsed="false">
      <c r="A120" s="0" t="s">
        <v>217</v>
      </c>
      <c r="B120" s="0" t="n">
        <v>6010</v>
      </c>
      <c r="C120" s="0" t="s">
        <v>133</v>
      </c>
      <c r="D120" s="0" t="n">
        <v>11410</v>
      </c>
      <c r="E120" s="0" t="s">
        <v>467</v>
      </c>
      <c r="F120" s="0" t="n">
        <v>14930.1189056898</v>
      </c>
    </row>
    <row r="121" customFormat="false" ht="14.25" hidden="false" customHeight="false" outlineLevel="0" collapsed="false">
      <c r="A121" s="0" t="s">
        <v>309</v>
      </c>
      <c r="B121" s="0" t="n">
        <v>6020</v>
      </c>
      <c r="C121" s="0" t="s">
        <v>129</v>
      </c>
      <c r="D121" s="0" t="n">
        <v>11440</v>
      </c>
      <c r="E121" s="0" t="s">
        <v>71</v>
      </c>
      <c r="F121" s="0" t="n">
        <v>14980</v>
      </c>
    </row>
    <row r="122" customFormat="false" ht="14.25" hidden="false" customHeight="false" outlineLevel="0" collapsed="false">
      <c r="A122" s="0" t="s">
        <v>355</v>
      </c>
      <c r="B122" s="0" t="n">
        <v>6020</v>
      </c>
      <c r="C122" s="0" t="s">
        <v>517</v>
      </c>
      <c r="D122" s="0" t="n">
        <v>11460.740093512</v>
      </c>
      <c r="E122" s="0" t="s">
        <v>239</v>
      </c>
      <c r="F122" s="0" t="n">
        <v>14990</v>
      </c>
    </row>
    <row r="123" customFormat="false" ht="14.25" hidden="false" customHeight="false" outlineLevel="0" collapsed="false">
      <c r="A123" s="0" t="s">
        <v>475</v>
      </c>
      <c r="B123" s="0" t="n">
        <v>6046.99928975805</v>
      </c>
      <c r="C123" s="0" t="s">
        <v>373</v>
      </c>
      <c r="D123" s="0" t="n">
        <v>11860</v>
      </c>
      <c r="E123" s="0" t="s">
        <v>469</v>
      </c>
      <c r="F123" s="0" t="n">
        <v>15086.893286898</v>
      </c>
    </row>
    <row r="124" customFormat="false" ht="14.25" hidden="false" customHeight="false" outlineLevel="0" collapsed="false">
      <c r="A124" s="0" t="s">
        <v>213</v>
      </c>
      <c r="B124" s="0" t="n">
        <v>6110</v>
      </c>
      <c r="C124" s="0" t="s">
        <v>261</v>
      </c>
      <c r="D124" s="0" t="n">
        <v>12110</v>
      </c>
      <c r="E124" s="0" t="s">
        <v>457</v>
      </c>
      <c r="F124" s="0" t="n">
        <v>15109.6398764943</v>
      </c>
    </row>
    <row r="125" customFormat="false" ht="14.25" hidden="false" customHeight="false" outlineLevel="0" collapsed="false">
      <c r="A125" s="0" t="s">
        <v>77</v>
      </c>
      <c r="B125" s="0" t="n">
        <v>6270</v>
      </c>
      <c r="C125" s="0" t="s">
        <v>497</v>
      </c>
      <c r="D125" s="0" t="n">
        <v>12333.6756936639</v>
      </c>
      <c r="E125" s="0" t="s">
        <v>383</v>
      </c>
      <c r="F125" s="0" t="n">
        <v>15230</v>
      </c>
    </row>
    <row r="126" customFormat="false" ht="14.25" hidden="false" customHeight="false" outlineLevel="0" collapsed="false">
      <c r="A126" s="0" t="s">
        <v>283</v>
      </c>
      <c r="B126" s="0" t="n">
        <v>6310</v>
      </c>
      <c r="C126" s="0" t="s">
        <v>465</v>
      </c>
      <c r="D126" s="0" t="n">
        <v>12585.0485024213</v>
      </c>
      <c r="E126" s="0" t="s">
        <v>103</v>
      </c>
      <c r="F126" s="0" t="n">
        <v>15280</v>
      </c>
    </row>
    <row r="127" customFormat="false" ht="14.25" hidden="false" customHeight="false" outlineLevel="0" collapsed="false">
      <c r="A127" s="0" t="s">
        <v>131</v>
      </c>
      <c r="B127" s="0" t="n">
        <v>6480</v>
      </c>
      <c r="C127" s="0" t="s">
        <v>111</v>
      </c>
      <c r="D127" s="0" t="n">
        <v>13090</v>
      </c>
      <c r="E127" s="0" t="s">
        <v>417</v>
      </c>
      <c r="F127" s="0" t="n">
        <v>15600</v>
      </c>
    </row>
    <row r="128" customFormat="false" ht="14.25" hidden="false" customHeight="false" outlineLevel="0" collapsed="false">
      <c r="A128" s="0" t="s">
        <v>477</v>
      </c>
      <c r="B128" s="0" t="n">
        <v>6495.86713463189</v>
      </c>
      <c r="C128" s="0" t="s">
        <v>383</v>
      </c>
      <c r="D128" s="0" t="n">
        <v>13090</v>
      </c>
      <c r="E128" s="0" t="s">
        <v>501</v>
      </c>
      <c r="F128" s="0" t="n">
        <v>15643.3678773104</v>
      </c>
    </row>
    <row r="129" customFormat="false" ht="14.25" hidden="false" customHeight="false" outlineLevel="0" collapsed="false">
      <c r="A129" s="0" t="s">
        <v>103</v>
      </c>
      <c r="B129" s="0" t="n">
        <v>6550</v>
      </c>
      <c r="C129" s="0" t="s">
        <v>403</v>
      </c>
      <c r="D129" s="0" t="n">
        <v>13190</v>
      </c>
      <c r="E129" s="0" t="s">
        <v>51</v>
      </c>
      <c r="F129" s="0" t="n">
        <v>15740</v>
      </c>
    </row>
    <row r="130" customFormat="false" ht="14.25" hidden="false" customHeight="false" outlineLevel="0" collapsed="false">
      <c r="A130" s="0" t="s">
        <v>341</v>
      </c>
      <c r="B130" s="0" t="n">
        <v>6650</v>
      </c>
      <c r="C130" s="0" t="s">
        <v>355</v>
      </c>
      <c r="D130" s="0" t="n">
        <v>13220</v>
      </c>
      <c r="E130" s="0" t="s">
        <v>67</v>
      </c>
      <c r="F130" s="0" t="n">
        <v>15840</v>
      </c>
    </row>
    <row r="131" customFormat="false" ht="14.25" hidden="false" customHeight="false" outlineLevel="0" collapsed="false">
      <c r="A131" s="0" t="s">
        <v>175</v>
      </c>
      <c r="B131" s="0" t="n">
        <v>7150</v>
      </c>
      <c r="C131" s="0" t="s">
        <v>501</v>
      </c>
      <c r="D131" s="0" t="n">
        <v>13341.2663890616</v>
      </c>
      <c r="E131" s="0" t="s">
        <v>175</v>
      </c>
      <c r="F131" s="0" t="n">
        <v>16030</v>
      </c>
    </row>
    <row r="132" customFormat="false" ht="14.25" hidden="false" customHeight="false" outlineLevel="0" collapsed="false">
      <c r="A132" s="0" t="s">
        <v>403</v>
      </c>
      <c r="B132" s="0" t="n">
        <v>7160</v>
      </c>
      <c r="C132" s="0" t="s">
        <v>23</v>
      </c>
      <c r="D132" s="0" t="n">
        <v>13360</v>
      </c>
      <c r="E132" s="0" t="s">
        <v>459</v>
      </c>
      <c r="F132" s="0" t="n">
        <v>16158.8101275326</v>
      </c>
    </row>
    <row r="133" customFormat="false" ht="14.25" hidden="false" customHeight="false" outlineLevel="0" collapsed="false">
      <c r="A133" s="0" t="s">
        <v>219</v>
      </c>
      <c r="B133" s="0" t="n">
        <v>7250</v>
      </c>
      <c r="C133" s="0" t="s">
        <v>161</v>
      </c>
      <c r="D133" s="0" t="n">
        <v>13490</v>
      </c>
      <c r="E133" s="0" t="s">
        <v>503</v>
      </c>
      <c r="F133" s="0" t="n">
        <v>16348.2008714729</v>
      </c>
    </row>
    <row r="134" customFormat="false" ht="14.25" hidden="false" customHeight="false" outlineLevel="0" collapsed="false">
      <c r="A134" s="0" t="s">
        <v>515</v>
      </c>
      <c r="B134" s="0" t="n">
        <v>7325.41581327572</v>
      </c>
      <c r="C134" s="0" t="s">
        <v>205</v>
      </c>
      <c r="D134" s="0" t="n">
        <v>13500</v>
      </c>
      <c r="E134" s="0" t="s">
        <v>499</v>
      </c>
      <c r="F134" s="0" t="n">
        <v>16355.6670731974</v>
      </c>
    </row>
    <row r="135" customFormat="false" ht="14.25" hidden="false" customHeight="false" outlineLevel="0" collapsed="false">
      <c r="A135" s="0" t="s">
        <v>391</v>
      </c>
      <c r="B135" s="0" t="n">
        <v>7340</v>
      </c>
      <c r="C135" s="0" t="s">
        <v>391</v>
      </c>
      <c r="D135" s="0" t="n">
        <v>13620</v>
      </c>
      <c r="E135" s="0" t="s">
        <v>101</v>
      </c>
      <c r="F135" s="0" t="n">
        <v>16730</v>
      </c>
    </row>
    <row r="136" customFormat="false" ht="14.25" hidden="false" customHeight="false" outlineLevel="0" collapsed="false">
      <c r="A136" s="0" t="s">
        <v>517</v>
      </c>
      <c r="B136" s="0" t="n">
        <v>7370.44464244736</v>
      </c>
      <c r="C136" s="0" t="s">
        <v>43</v>
      </c>
      <c r="D136" s="0" t="n">
        <v>13710</v>
      </c>
      <c r="E136" s="0" t="s">
        <v>309</v>
      </c>
      <c r="F136" s="0" t="n">
        <v>16770</v>
      </c>
    </row>
    <row r="137" customFormat="false" ht="14.25" hidden="false" customHeight="false" outlineLevel="0" collapsed="false">
      <c r="A137" s="0" t="s">
        <v>111</v>
      </c>
      <c r="B137" s="0" t="n">
        <v>7480</v>
      </c>
      <c r="C137" s="0" t="s">
        <v>503</v>
      </c>
      <c r="D137" s="0" t="n">
        <v>13826.09262088</v>
      </c>
      <c r="E137" s="0" t="s">
        <v>513</v>
      </c>
      <c r="F137" s="0" t="n">
        <v>16876.3117537372</v>
      </c>
    </row>
    <row r="138" customFormat="false" ht="14.25" hidden="false" customHeight="false" outlineLevel="0" collapsed="false">
      <c r="A138" s="0" t="s">
        <v>373</v>
      </c>
      <c r="B138" s="0" t="n">
        <v>7540</v>
      </c>
      <c r="C138" s="0" t="s">
        <v>499</v>
      </c>
      <c r="D138" s="0" t="n">
        <v>13827.8653310513</v>
      </c>
      <c r="E138" s="0" t="s">
        <v>69</v>
      </c>
      <c r="F138" s="0" t="n">
        <v>17120</v>
      </c>
    </row>
    <row r="139" customFormat="false" ht="14.25" hidden="false" customHeight="false" outlineLevel="0" collapsed="false">
      <c r="A139" s="0" t="s">
        <v>237</v>
      </c>
      <c r="B139" s="0" t="n">
        <v>8020</v>
      </c>
      <c r="C139" s="0" t="s">
        <v>69</v>
      </c>
      <c r="D139" s="0" t="n">
        <v>13940</v>
      </c>
      <c r="E139" s="0" t="s">
        <v>391</v>
      </c>
      <c r="F139" s="0" t="n">
        <v>17880</v>
      </c>
    </row>
    <row r="140" customFormat="false" ht="14.25" hidden="false" customHeight="false" outlineLevel="0" collapsed="false">
      <c r="A140" s="0" t="s">
        <v>23</v>
      </c>
      <c r="B140" s="0" t="n">
        <v>8030</v>
      </c>
      <c r="C140" s="0" t="s">
        <v>459</v>
      </c>
      <c r="D140" s="0" t="n">
        <v>14183.5335739755</v>
      </c>
      <c r="E140" s="0" t="s">
        <v>497</v>
      </c>
      <c r="F140" s="0" t="n">
        <v>17904.3264081326</v>
      </c>
    </row>
    <row r="141" customFormat="false" ht="14.25" hidden="false" customHeight="false" outlineLevel="0" collapsed="false">
      <c r="A141" s="0" t="s">
        <v>321</v>
      </c>
      <c r="B141" s="0" t="n">
        <v>8040</v>
      </c>
      <c r="C141" s="0" t="s">
        <v>239</v>
      </c>
      <c r="D141" s="0" t="n">
        <v>14580</v>
      </c>
      <c r="E141" s="0" t="s">
        <v>355</v>
      </c>
      <c r="F141" s="0" t="n">
        <v>17910</v>
      </c>
    </row>
    <row r="142" customFormat="false" ht="14.25" hidden="false" customHeight="false" outlineLevel="0" collapsed="false">
      <c r="A142" s="0" t="s">
        <v>261</v>
      </c>
      <c r="B142" s="0" t="n">
        <v>8060</v>
      </c>
      <c r="C142" s="0" t="s">
        <v>283</v>
      </c>
      <c r="D142" s="0" t="n">
        <v>14590</v>
      </c>
      <c r="E142" s="0" t="s">
        <v>131</v>
      </c>
      <c r="F142" s="0" t="n">
        <v>18310</v>
      </c>
    </row>
    <row r="143" customFormat="false" ht="14.25" hidden="false" customHeight="false" outlineLevel="0" collapsed="false">
      <c r="A143" s="0" t="s">
        <v>501</v>
      </c>
      <c r="B143" s="0" t="n">
        <v>8203.71381199158</v>
      </c>
      <c r="C143" s="0" t="s">
        <v>71</v>
      </c>
      <c r="D143" s="0" t="n">
        <v>14650</v>
      </c>
      <c r="E143" s="0" t="s">
        <v>261</v>
      </c>
      <c r="F143" s="0" t="n">
        <v>18340</v>
      </c>
    </row>
    <row r="144" customFormat="false" ht="14.25" hidden="false" customHeight="false" outlineLevel="0" collapsed="false">
      <c r="A144" s="0" t="s">
        <v>69</v>
      </c>
      <c r="B144" s="0" t="n">
        <v>8250</v>
      </c>
      <c r="C144" s="0" t="s">
        <v>77</v>
      </c>
      <c r="D144" s="0" t="n">
        <v>15170</v>
      </c>
      <c r="E144" s="0" t="s">
        <v>465</v>
      </c>
      <c r="F144" s="0" t="n">
        <v>18348.6283566764</v>
      </c>
    </row>
    <row r="145" customFormat="false" ht="14.25" hidden="false" customHeight="false" outlineLevel="0" collapsed="false">
      <c r="A145" s="0" t="s">
        <v>249</v>
      </c>
      <c r="B145" s="0" t="n">
        <v>8300</v>
      </c>
      <c r="C145" s="0" t="s">
        <v>51</v>
      </c>
      <c r="D145" s="0" t="n">
        <v>15250</v>
      </c>
      <c r="E145" s="0" t="s">
        <v>403</v>
      </c>
      <c r="F145" s="0" t="n">
        <v>18530</v>
      </c>
    </row>
    <row r="146" customFormat="false" ht="14.25" hidden="false" customHeight="false" outlineLevel="0" collapsed="false">
      <c r="A146" s="0" t="s">
        <v>383</v>
      </c>
      <c r="B146" s="0" t="n">
        <v>8330</v>
      </c>
      <c r="C146" s="0" t="s">
        <v>457</v>
      </c>
      <c r="D146" s="0" t="n">
        <v>15370.426352118</v>
      </c>
      <c r="E146" s="0" t="s">
        <v>53</v>
      </c>
      <c r="F146" s="0" t="n">
        <v>19520</v>
      </c>
    </row>
    <row r="147" customFormat="false" ht="14.25" hidden="false" customHeight="false" outlineLevel="0" collapsed="false">
      <c r="A147" s="0" t="s">
        <v>503</v>
      </c>
      <c r="B147" s="0" t="n">
        <v>8490.1468982177</v>
      </c>
      <c r="C147" s="0" t="s">
        <v>321</v>
      </c>
      <c r="D147" s="0" t="n">
        <v>15990</v>
      </c>
      <c r="E147" s="0" t="s">
        <v>319</v>
      </c>
      <c r="F147" s="0" t="n">
        <v>19530</v>
      </c>
    </row>
    <row r="148" customFormat="false" ht="14.25" hidden="false" customHeight="false" outlineLevel="0" collapsed="false">
      <c r="A148" s="0" t="s">
        <v>499</v>
      </c>
      <c r="B148" s="0" t="n">
        <v>8503.79249529384</v>
      </c>
      <c r="C148" s="0" t="s">
        <v>319</v>
      </c>
      <c r="D148" s="0" t="n">
        <v>16030</v>
      </c>
      <c r="E148" s="0" t="s">
        <v>273</v>
      </c>
      <c r="F148" s="0" t="n">
        <v>19860</v>
      </c>
    </row>
    <row r="149" customFormat="false" ht="14.25" hidden="false" customHeight="false" outlineLevel="0" collapsed="false">
      <c r="A149" s="0" t="s">
        <v>71</v>
      </c>
      <c r="B149" s="0" t="n">
        <v>8800</v>
      </c>
      <c r="C149" s="0" t="s">
        <v>53</v>
      </c>
      <c r="D149" s="0" t="n">
        <v>16170</v>
      </c>
      <c r="E149" s="0" t="s">
        <v>111</v>
      </c>
      <c r="F149" s="0" t="n">
        <v>20520</v>
      </c>
    </row>
    <row r="150" customFormat="false" ht="14.25" hidden="false" customHeight="false" outlineLevel="0" collapsed="false">
      <c r="A150" s="0" t="s">
        <v>271</v>
      </c>
      <c r="B150" s="0" t="n">
        <v>9000</v>
      </c>
      <c r="C150" s="0" t="s">
        <v>273</v>
      </c>
      <c r="D150" s="0" t="n">
        <v>16260</v>
      </c>
      <c r="E150" s="0" t="s">
        <v>535</v>
      </c>
      <c r="F150" s="0" t="n">
        <v>20809.9519657556</v>
      </c>
    </row>
    <row r="151" customFormat="false" ht="14.25" hidden="false" customHeight="false" outlineLevel="0" collapsed="false">
      <c r="A151" s="0" t="s">
        <v>459</v>
      </c>
      <c r="B151" s="0" t="n">
        <v>9038.61014189576</v>
      </c>
      <c r="C151" s="0" t="s">
        <v>271</v>
      </c>
      <c r="D151" s="0" t="n">
        <v>16340</v>
      </c>
      <c r="E151" s="0" t="s">
        <v>31</v>
      </c>
      <c r="F151" s="0" t="n">
        <v>21030</v>
      </c>
    </row>
    <row r="152" customFormat="false" ht="14.25" hidden="false" customHeight="false" outlineLevel="0" collapsed="false">
      <c r="A152" s="0" t="s">
        <v>143</v>
      </c>
      <c r="B152" s="0" t="n">
        <v>9070</v>
      </c>
      <c r="C152" s="0" t="s">
        <v>475</v>
      </c>
      <c r="D152" s="0" t="n">
        <v>16453.6187978173</v>
      </c>
      <c r="E152" s="0" t="s">
        <v>33</v>
      </c>
      <c r="F152" s="0" t="n">
        <v>22080</v>
      </c>
    </row>
    <row r="153" customFormat="false" ht="14.25" hidden="false" customHeight="false" outlineLevel="0" collapsed="false">
      <c r="A153" s="0" t="s">
        <v>239</v>
      </c>
      <c r="B153" s="0" t="n">
        <v>9120</v>
      </c>
      <c r="C153" s="0" t="s">
        <v>477</v>
      </c>
      <c r="D153" s="0" t="n">
        <v>16966.5140969908</v>
      </c>
      <c r="E153" s="0" t="s">
        <v>475</v>
      </c>
      <c r="F153" s="0" t="n">
        <v>22360.6867728335</v>
      </c>
    </row>
    <row r="154" customFormat="false" ht="14.25" hidden="false" customHeight="false" outlineLevel="0" collapsed="false">
      <c r="A154" s="0" t="s">
        <v>99</v>
      </c>
      <c r="B154" s="0" t="n">
        <v>9220</v>
      </c>
      <c r="C154" s="0" t="s">
        <v>433</v>
      </c>
      <c r="D154" s="0" t="n">
        <v>17390</v>
      </c>
      <c r="E154" s="0" t="s">
        <v>433</v>
      </c>
      <c r="F154" s="0" t="n">
        <v>22810</v>
      </c>
    </row>
    <row r="155" customFormat="false" ht="14.25" hidden="false" customHeight="false" outlineLevel="0" collapsed="false">
      <c r="A155" s="0" t="s">
        <v>415</v>
      </c>
      <c r="B155" s="0" t="n">
        <v>9490</v>
      </c>
      <c r="C155" s="0" t="s">
        <v>339</v>
      </c>
      <c r="D155" s="0" t="n">
        <v>17670</v>
      </c>
      <c r="E155" s="0" t="s">
        <v>527</v>
      </c>
      <c r="F155" s="0" t="n">
        <v>22978.1041736521</v>
      </c>
    </row>
    <row r="156" customFormat="false" ht="14.25" hidden="false" customHeight="false" outlineLevel="0" collapsed="false">
      <c r="A156" s="0" t="s">
        <v>535</v>
      </c>
      <c r="B156" s="0" t="n">
        <v>9815.16812631209</v>
      </c>
      <c r="C156" s="0" t="s">
        <v>219</v>
      </c>
      <c r="D156" s="0" t="n">
        <v>17790</v>
      </c>
      <c r="E156" s="0" t="s">
        <v>477</v>
      </c>
      <c r="F156" s="0" t="n">
        <v>23285.6945325929</v>
      </c>
    </row>
    <row r="157" customFormat="false" ht="14.25" hidden="false" customHeight="false" outlineLevel="0" collapsed="false">
      <c r="A157" s="0" t="s">
        <v>461</v>
      </c>
      <c r="B157" s="0" t="n">
        <v>9864.36673084352</v>
      </c>
      <c r="C157" s="0" t="s">
        <v>513</v>
      </c>
      <c r="D157" s="0" t="n">
        <v>17790.0072694436</v>
      </c>
      <c r="E157" s="0" t="s">
        <v>283</v>
      </c>
      <c r="F157" s="0" t="n">
        <v>23420</v>
      </c>
    </row>
    <row r="158" customFormat="false" ht="14.25" hidden="false" customHeight="false" outlineLevel="0" collapsed="false">
      <c r="A158" s="0" t="s">
        <v>457</v>
      </c>
      <c r="B158" s="0" t="n">
        <v>10190.8855911383</v>
      </c>
      <c r="C158" s="0" t="s">
        <v>203</v>
      </c>
      <c r="D158" s="0" t="n">
        <v>18010</v>
      </c>
      <c r="E158" s="0" t="s">
        <v>219</v>
      </c>
      <c r="F158" s="0" t="n">
        <v>24040</v>
      </c>
    </row>
    <row r="159" customFormat="false" ht="14.25" hidden="false" customHeight="false" outlineLevel="0" collapsed="false">
      <c r="A159" s="0" t="s">
        <v>433</v>
      </c>
      <c r="B159" s="0" t="n">
        <v>10230</v>
      </c>
      <c r="C159" s="0" t="s">
        <v>33</v>
      </c>
      <c r="D159" s="0" t="n">
        <v>18770</v>
      </c>
      <c r="E159" s="0" t="s">
        <v>77</v>
      </c>
      <c r="F159" s="0" t="n">
        <v>24180</v>
      </c>
    </row>
    <row r="160" customFormat="false" ht="14.25" hidden="false" customHeight="false" outlineLevel="0" collapsed="false">
      <c r="A160" s="0" t="s">
        <v>201</v>
      </c>
      <c r="B160" s="0" t="n">
        <v>10320</v>
      </c>
      <c r="C160" s="0" t="s">
        <v>99</v>
      </c>
      <c r="D160" s="0" t="n">
        <v>19110</v>
      </c>
      <c r="E160" s="0" t="s">
        <v>335</v>
      </c>
      <c r="F160" s="0" t="n">
        <v>24470</v>
      </c>
    </row>
    <row r="161" customFormat="false" ht="14.25" hidden="false" customHeight="false" outlineLevel="0" collapsed="false">
      <c r="A161" s="0" t="s">
        <v>115</v>
      </c>
      <c r="B161" s="0" t="n">
        <v>10390</v>
      </c>
      <c r="C161" s="0" t="s">
        <v>357</v>
      </c>
      <c r="D161" s="0" t="n">
        <v>19500</v>
      </c>
      <c r="E161" s="0" t="s">
        <v>99</v>
      </c>
      <c r="F161" s="0" t="n">
        <v>25040</v>
      </c>
    </row>
    <row r="162" customFormat="false" ht="14.25" hidden="false" customHeight="false" outlineLevel="0" collapsed="false">
      <c r="A162" s="0" t="s">
        <v>527</v>
      </c>
      <c r="B162" s="0" t="n">
        <v>10600.4626791786</v>
      </c>
      <c r="C162" s="0" t="s">
        <v>415</v>
      </c>
      <c r="D162" s="0" t="n">
        <v>19630</v>
      </c>
      <c r="E162" s="0" t="s">
        <v>381</v>
      </c>
      <c r="F162" s="0" t="n">
        <v>26090</v>
      </c>
    </row>
    <row r="163" customFormat="false" ht="14.25" hidden="false" customHeight="false" outlineLevel="0" collapsed="false">
      <c r="A163" s="0" t="s">
        <v>331</v>
      </c>
      <c r="B163" s="0" t="n">
        <v>10630</v>
      </c>
      <c r="C163" s="0" t="s">
        <v>31</v>
      </c>
      <c r="D163" s="0" t="n">
        <v>19720</v>
      </c>
      <c r="E163" s="0" t="s">
        <v>315</v>
      </c>
      <c r="F163" s="0" t="n">
        <v>26160</v>
      </c>
    </row>
    <row r="164" customFormat="false" ht="14.25" hidden="false" customHeight="false" outlineLevel="0" collapsed="false">
      <c r="A164" s="0" t="s">
        <v>273</v>
      </c>
      <c r="B164" s="0" t="n">
        <v>10850</v>
      </c>
      <c r="C164" s="0" t="s">
        <v>535</v>
      </c>
      <c r="D164" s="0" t="n">
        <v>19837.4491393949</v>
      </c>
      <c r="E164" s="0" t="s">
        <v>411</v>
      </c>
      <c r="F164" s="0" t="n">
        <v>26720</v>
      </c>
    </row>
    <row r="165" customFormat="false" ht="14.25" hidden="false" customHeight="false" outlineLevel="0" collapsed="false">
      <c r="A165" s="0" t="s">
        <v>203</v>
      </c>
      <c r="B165" s="0" t="n">
        <v>10990</v>
      </c>
      <c r="C165" s="0" t="s">
        <v>237</v>
      </c>
      <c r="D165" s="0" t="n">
        <v>19860</v>
      </c>
      <c r="E165" s="0" t="s">
        <v>271</v>
      </c>
      <c r="F165" s="0" t="n">
        <v>26790</v>
      </c>
    </row>
    <row r="166" customFormat="false" ht="14.25" hidden="false" customHeight="false" outlineLevel="0" collapsed="false">
      <c r="A166" s="0" t="s">
        <v>319</v>
      </c>
      <c r="B166" s="0" t="n">
        <v>11010</v>
      </c>
      <c r="C166" s="0" t="s">
        <v>115</v>
      </c>
      <c r="D166" s="0" t="n">
        <v>20130</v>
      </c>
      <c r="E166" s="0" t="s">
        <v>415</v>
      </c>
      <c r="F166" s="0" t="n">
        <v>26860</v>
      </c>
    </row>
    <row r="167" customFormat="false" ht="14.25" hidden="false" customHeight="false" outlineLevel="0" collapsed="false">
      <c r="A167" s="0" t="s">
        <v>193</v>
      </c>
      <c r="B167" s="0" t="n">
        <v>11170</v>
      </c>
      <c r="C167" s="0" t="s">
        <v>335</v>
      </c>
      <c r="D167" s="0" t="n">
        <v>20840</v>
      </c>
      <c r="E167" s="0" t="s">
        <v>357</v>
      </c>
      <c r="F167" s="0" t="n">
        <v>27630</v>
      </c>
    </row>
    <row r="168" customFormat="false" ht="14.25" hidden="false" customHeight="false" outlineLevel="0" collapsed="false">
      <c r="A168" s="0" t="s">
        <v>33</v>
      </c>
      <c r="B168" s="0" t="n">
        <v>11310</v>
      </c>
      <c r="C168" s="0" t="s">
        <v>259</v>
      </c>
      <c r="D168" s="0" t="n">
        <v>21190</v>
      </c>
      <c r="E168" s="0" t="s">
        <v>341</v>
      </c>
      <c r="F168" s="0" t="n">
        <v>28260</v>
      </c>
    </row>
    <row r="169" customFormat="false" ht="14.25" hidden="false" customHeight="false" outlineLevel="0" collapsed="false">
      <c r="A169" s="0" t="s">
        <v>365</v>
      </c>
      <c r="B169" s="0" t="n">
        <v>11340</v>
      </c>
      <c r="C169" s="0" t="s">
        <v>461</v>
      </c>
      <c r="D169" s="0" t="n">
        <v>21342.8762289005</v>
      </c>
      <c r="E169" s="0" t="s">
        <v>259</v>
      </c>
      <c r="F169" s="0" t="n">
        <v>28780</v>
      </c>
    </row>
    <row r="170" customFormat="false" ht="14.25" hidden="false" customHeight="false" outlineLevel="0" collapsed="false">
      <c r="A170" s="0" t="s">
        <v>513</v>
      </c>
      <c r="B170" s="0" t="n">
        <v>11532.5364851393</v>
      </c>
      <c r="C170" s="0" t="s">
        <v>195</v>
      </c>
      <c r="D170" s="0" t="n">
        <v>21900</v>
      </c>
      <c r="E170" s="0" t="s">
        <v>115</v>
      </c>
      <c r="F170" s="0" t="n">
        <v>29790</v>
      </c>
    </row>
    <row r="171" customFormat="false" ht="14.25" hidden="false" customHeight="false" outlineLevel="0" collapsed="false">
      <c r="A171" s="0" t="s">
        <v>159</v>
      </c>
      <c r="B171" s="0" t="n">
        <v>11850</v>
      </c>
      <c r="C171" s="0" t="s">
        <v>381</v>
      </c>
      <c r="D171" s="0" t="n">
        <v>21950</v>
      </c>
      <c r="E171" s="0" t="s">
        <v>321</v>
      </c>
      <c r="F171" s="0" t="n">
        <v>30550</v>
      </c>
    </row>
    <row r="172" customFormat="false" ht="14.25" hidden="false" customHeight="false" outlineLevel="0" collapsed="false">
      <c r="A172" s="0" t="s">
        <v>259</v>
      </c>
      <c r="B172" s="0" t="n">
        <v>11870</v>
      </c>
      <c r="C172" s="0" t="s">
        <v>331</v>
      </c>
      <c r="D172" s="0" t="n">
        <v>22010</v>
      </c>
      <c r="E172" s="0" t="s">
        <v>237</v>
      </c>
      <c r="F172" s="0" t="n">
        <v>31590</v>
      </c>
    </row>
    <row r="173" customFormat="false" ht="14.25" hidden="false" customHeight="false" outlineLevel="0" collapsed="false">
      <c r="A173" s="0" t="s">
        <v>51</v>
      </c>
      <c r="B173" s="0" t="n">
        <v>12310</v>
      </c>
      <c r="C173" s="0" t="s">
        <v>341</v>
      </c>
      <c r="D173" s="0" t="n">
        <v>22130</v>
      </c>
      <c r="E173" s="0" t="s">
        <v>339</v>
      </c>
      <c r="F173" s="0" t="n">
        <v>31840</v>
      </c>
    </row>
    <row r="174" customFormat="false" ht="14.25" hidden="false" customHeight="false" outlineLevel="0" collapsed="false">
      <c r="A174" s="0" t="s">
        <v>411</v>
      </c>
      <c r="B174" s="0" t="n">
        <v>13430</v>
      </c>
      <c r="C174" s="0" t="s">
        <v>143</v>
      </c>
      <c r="D174" s="0" t="n">
        <v>22180</v>
      </c>
      <c r="E174" s="0" t="s">
        <v>365</v>
      </c>
      <c r="F174" s="0" t="n">
        <v>31980</v>
      </c>
    </row>
    <row r="175" customFormat="false" ht="14.25" hidden="false" customHeight="false" outlineLevel="0" collapsed="false">
      <c r="A175" s="0" t="s">
        <v>357</v>
      </c>
      <c r="B175" s="0" t="n">
        <v>13540</v>
      </c>
      <c r="C175" s="0" t="s">
        <v>249</v>
      </c>
      <c r="D175" s="0" t="n">
        <v>22220</v>
      </c>
      <c r="E175" s="0" t="s">
        <v>331</v>
      </c>
      <c r="F175" s="0" t="n">
        <v>32790</v>
      </c>
    </row>
    <row r="176" customFormat="false" ht="14.25" hidden="false" customHeight="false" outlineLevel="0" collapsed="false">
      <c r="A176" s="0" t="s">
        <v>381</v>
      </c>
      <c r="B176" s="0" t="n">
        <v>15080</v>
      </c>
      <c r="C176" s="0" t="s">
        <v>527</v>
      </c>
      <c r="D176" s="0" t="n">
        <v>22567.670610435</v>
      </c>
      <c r="E176" s="0" t="s">
        <v>461</v>
      </c>
      <c r="F176" s="0" t="n">
        <v>33006.1918648894</v>
      </c>
    </row>
    <row r="177" customFormat="false" ht="14.25" hidden="false" customHeight="false" outlineLevel="0" collapsed="false">
      <c r="A177" s="0" t="s">
        <v>335</v>
      </c>
      <c r="B177" s="0" t="n">
        <v>15410</v>
      </c>
      <c r="C177" s="0" t="s">
        <v>145</v>
      </c>
      <c r="D177" s="0" t="n">
        <v>23530</v>
      </c>
      <c r="E177" s="0" t="s">
        <v>193</v>
      </c>
      <c r="F177" s="0" t="n">
        <v>33070</v>
      </c>
    </row>
    <row r="178" customFormat="false" ht="14.25" hidden="false" customHeight="false" outlineLevel="0" collapsed="false">
      <c r="A178" s="0" t="s">
        <v>473</v>
      </c>
      <c r="B178" s="0" t="n">
        <v>15875.8035419103</v>
      </c>
      <c r="C178" s="0" t="s">
        <v>365</v>
      </c>
      <c r="D178" s="0" t="n">
        <v>25180</v>
      </c>
      <c r="E178" s="0" t="s">
        <v>333</v>
      </c>
      <c r="F178" s="0" t="n">
        <v>35940</v>
      </c>
    </row>
    <row r="179" customFormat="false" ht="14.25" hidden="false" customHeight="false" outlineLevel="0" collapsed="false">
      <c r="A179" s="0" t="s">
        <v>123</v>
      </c>
      <c r="B179" s="0" t="n">
        <v>15930</v>
      </c>
      <c r="C179" s="0" t="s">
        <v>333</v>
      </c>
      <c r="D179" s="0" t="n">
        <v>26340</v>
      </c>
      <c r="E179" s="0" t="s">
        <v>473</v>
      </c>
      <c r="F179" s="0" t="n">
        <v>36514.6199174242</v>
      </c>
    </row>
    <row r="180" customFormat="false" ht="14.25" hidden="false" customHeight="false" outlineLevel="0" collapsed="false">
      <c r="A180" s="0" t="s">
        <v>31</v>
      </c>
      <c r="B180" s="0" t="n">
        <v>15940</v>
      </c>
      <c r="C180" s="0" t="s">
        <v>123</v>
      </c>
      <c r="D180" s="0" t="n">
        <v>26660</v>
      </c>
      <c r="E180" s="0" t="s">
        <v>45</v>
      </c>
      <c r="F180" s="0" t="n">
        <v>37350</v>
      </c>
    </row>
    <row r="181" customFormat="false" ht="14.25" hidden="false" customHeight="false" outlineLevel="0" collapsed="false">
      <c r="A181" s="0" t="s">
        <v>265</v>
      </c>
      <c r="B181" s="0" t="n">
        <v>17670</v>
      </c>
      <c r="C181" s="0" t="s">
        <v>411</v>
      </c>
      <c r="D181" s="0" t="n">
        <v>27460</v>
      </c>
      <c r="E181" s="0" t="s">
        <v>249</v>
      </c>
      <c r="F181" s="0" t="n">
        <v>37420</v>
      </c>
    </row>
    <row r="182" customFormat="false" ht="14.25" hidden="false" customHeight="false" outlineLevel="0" collapsed="false">
      <c r="A182" s="0" t="s">
        <v>367</v>
      </c>
      <c r="B182" s="0" t="n">
        <v>17970</v>
      </c>
      <c r="C182" s="0" t="s">
        <v>473</v>
      </c>
      <c r="D182" s="0" t="n">
        <v>27495.1598722593</v>
      </c>
      <c r="E182" s="0" t="s">
        <v>143</v>
      </c>
      <c r="F182" s="0" t="n">
        <v>37940</v>
      </c>
    </row>
    <row r="183" customFormat="false" ht="14.25" hidden="false" customHeight="false" outlineLevel="0" collapsed="false">
      <c r="A183" s="0" t="s">
        <v>227</v>
      </c>
      <c r="B183" s="0" t="n">
        <v>18420</v>
      </c>
      <c r="C183" s="0" t="s">
        <v>265</v>
      </c>
      <c r="D183" s="0" t="n">
        <v>28290</v>
      </c>
      <c r="E183" s="0" t="s">
        <v>121</v>
      </c>
      <c r="F183" s="0" t="n">
        <v>39850</v>
      </c>
    </row>
    <row r="184" customFormat="false" ht="14.25" hidden="false" customHeight="false" outlineLevel="0" collapsed="false">
      <c r="A184" s="0" t="s">
        <v>333</v>
      </c>
      <c r="B184" s="0" t="n">
        <v>18580</v>
      </c>
      <c r="C184" s="0" t="s">
        <v>367</v>
      </c>
      <c r="D184" s="0" t="n">
        <v>28540</v>
      </c>
      <c r="E184" s="0" t="s">
        <v>123</v>
      </c>
      <c r="F184" s="0" t="n">
        <v>40360</v>
      </c>
    </row>
    <row r="185" customFormat="false" ht="14.25" hidden="false" customHeight="false" outlineLevel="0" collapsed="false">
      <c r="A185" s="0" t="s">
        <v>121</v>
      </c>
      <c r="B185" s="0" t="n">
        <v>19470</v>
      </c>
      <c r="C185" s="0" t="s">
        <v>45</v>
      </c>
      <c r="D185" s="0" t="n">
        <v>30940</v>
      </c>
      <c r="E185" s="0" t="s">
        <v>367</v>
      </c>
      <c r="F185" s="0" t="n">
        <v>40530</v>
      </c>
    </row>
    <row r="186" customFormat="false" ht="14.25" hidden="false" customHeight="false" outlineLevel="0" collapsed="false">
      <c r="A186" s="0" t="s">
        <v>301</v>
      </c>
      <c r="B186" s="0" t="n">
        <v>20290</v>
      </c>
      <c r="C186" s="0" t="s">
        <v>301</v>
      </c>
      <c r="D186" s="0" t="n">
        <v>31220</v>
      </c>
      <c r="E186" s="0" t="s">
        <v>209</v>
      </c>
      <c r="F186" s="0" t="n">
        <v>41750</v>
      </c>
    </row>
    <row r="187" customFormat="false" ht="14.25" hidden="false" customHeight="false" outlineLevel="0" collapsed="false">
      <c r="A187" s="0" t="s">
        <v>377</v>
      </c>
      <c r="B187" s="0" t="n">
        <v>21440</v>
      </c>
      <c r="C187" s="0" t="s">
        <v>377</v>
      </c>
      <c r="D187" s="0" t="n">
        <v>31310</v>
      </c>
      <c r="E187" s="0" t="s">
        <v>377</v>
      </c>
      <c r="F187" s="0" t="n">
        <v>42250</v>
      </c>
    </row>
    <row r="188" customFormat="false" ht="14.25" hidden="false" customHeight="false" outlineLevel="0" collapsed="false">
      <c r="A188" s="0" t="s">
        <v>479</v>
      </c>
      <c r="B188" s="0" t="n">
        <v>22061.2179132892</v>
      </c>
      <c r="C188" s="0" t="s">
        <v>227</v>
      </c>
      <c r="D188" s="0" t="n">
        <v>32750</v>
      </c>
      <c r="E188" s="0" t="s">
        <v>227</v>
      </c>
      <c r="F188" s="0" t="n">
        <v>43100</v>
      </c>
    </row>
    <row r="189" customFormat="false" ht="14.25" hidden="false" customHeight="false" outlineLevel="0" collapsed="false">
      <c r="A189" s="0" t="s">
        <v>209</v>
      </c>
      <c r="B189" s="0" t="n">
        <v>23440</v>
      </c>
      <c r="C189" s="0" t="s">
        <v>121</v>
      </c>
      <c r="D189" s="0" t="n">
        <v>34190</v>
      </c>
      <c r="E189" s="0" t="s">
        <v>265</v>
      </c>
      <c r="F189" s="0" t="n">
        <v>43240</v>
      </c>
    </row>
    <row r="190" customFormat="false" ht="14.25" hidden="false" customHeight="false" outlineLevel="0" collapsed="false">
      <c r="A190" s="0" t="s">
        <v>525</v>
      </c>
      <c r="B190" s="0" t="n">
        <v>24678.808499016</v>
      </c>
      <c r="C190" s="0" t="s">
        <v>479</v>
      </c>
      <c r="D190" s="0" t="n">
        <v>34450.1152029758</v>
      </c>
      <c r="E190" s="0" t="s">
        <v>215</v>
      </c>
      <c r="F190" s="0" t="n">
        <v>43760</v>
      </c>
    </row>
    <row r="191" customFormat="false" ht="14.25" hidden="false" customHeight="false" outlineLevel="0" collapsed="false">
      <c r="A191" s="0" t="s">
        <v>471</v>
      </c>
      <c r="B191" s="0" t="n">
        <v>25363.9346433074</v>
      </c>
      <c r="C191" s="0" t="s">
        <v>197</v>
      </c>
      <c r="D191" s="0" t="n">
        <v>34550</v>
      </c>
      <c r="E191" s="0" t="s">
        <v>301</v>
      </c>
      <c r="F191" s="0" t="n">
        <v>43950</v>
      </c>
    </row>
    <row r="192" customFormat="false" ht="14.25" hidden="false" customHeight="false" outlineLevel="0" collapsed="false">
      <c r="A192" s="0" t="s">
        <v>39</v>
      </c>
      <c r="B192" s="0" t="n">
        <v>25560</v>
      </c>
      <c r="C192" s="0" t="s">
        <v>525</v>
      </c>
      <c r="D192" s="0" t="n">
        <v>36036.9058927679</v>
      </c>
      <c r="E192" s="0" t="s">
        <v>47</v>
      </c>
      <c r="F192" s="0" t="n">
        <v>44330</v>
      </c>
    </row>
    <row r="193" customFormat="false" ht="14.25" hidden="false" customHeight="false" outlineLevel="0" collapsed="false">
      <c r="A193" s="0" t="s">
        <v>205</v>
      </c>
      <c r="B193" s="0" t="n">
        <v>26320</v>
      </c>
      <c r="C193" s="0" t="s">
        <v>209</v>
      </c>
      <c r="D193" s="0" t="n">
        <v>36400</v>
      </c>
      <c r="E193" s="0" t="s">
        <v>211</v>
      </c>
      <c r="F193" s="0" t="n">
        <v>45240</v>
      </c>
    </row>
    <row r="194" customFormat="false" ht="14.25" hidden="false" customHeight="false" outlineLevel="0" collapsed="false">
      <c r="A194" s="0" t="s">
        <v>155</v>
      </c>
      <c r="B194" s="0" t="n">
        <v>26510</v>
      </c>
      <c r="C194" s="0" t="s">
        <v>211</v>
      </c>
      <c r="D194" s="0" t="n">
        <v>36510</v>
      </c>
      <c r="E194" s="0" t="s">
        <v>525</v>
      </c>
      <c r="F194" s="0" t="n">
        <v>46432.8544585409</v>
      </c>
    </row>
    <row r="195" customFormat="false" ht="14.25" hidden="false" customHeight="false" outlineLevel="0" collapsed="false">
      <c r="A195" s="0" t="s">
        <v>429</v>
      </c>
      <c r="B195" s="0" t="n">
        <v>26520</v>
      </c>
      <c r="C195" s="0" t="s">
        <v>215</v>
      </c>
      <c r="D195" s="0" t="n">
        <v>36790</v>
      </c>
      <c r="E195" s="0" t="s">
        <v>479</v>
      </c>
      <c r="F195" s="0" t="n">
        <v>46515.2307310106</v>
      </c>
    </row>
    <row r="196" customFormat="false" ht="14.25" hidden="false" customHeight="false" outlineLevel="0" collapsed="false">
      <c r="A196" s="0" t="s">
        <v>153</v>
      </c>
      <c r="B196" s="0" t="n">
        <v>26630</v>
      </c>
      <c r="C196" s="0" t="s">
        <v>429</v>
      </c>
      <c r="D196" s="0" t="n">
        <v>37320</v>
      </c>
      <c r="E196" s="0" t="s">
        <v>429</v>
      </c>
      <c r="F196" s="0" t="n">
        <v>47620</v>
      </c>
    </row>
    <row r="197" customFormat="false" ht="14.25" hidden="false" customHeight="false" outlineLevel="0" collapsed="false">
      <c r="A197" s="0" t="s">
        <v>211</v>
      </c>
      <c r="B197" s="0" t="n">
        <v>26980</v>
      </c>
      <c r="C197" s="0" t="s">
        <v>471</v>
      </c>
      <c r="D197" s="0" t="n">
        <v>37599.6632014207</v>
      </c>
      <c r="E197" s="0" t="s">
        <v>351</v>
      </c>
      <c r="F197" s="0" t="n">
        <v>49440</v>
      </c>
    </row>
    <row r="198" customFormat="false" ht="14.25" hidden="false" customHeight="false" outlineLevel="0" collapsed="false">
      <c r="A198" s="0" t="s">
        <v>531</v>
      </c>
      <c r="B198" s="0" t="n">
        <v>27023.223566336</v>
      </c>
      <c r="C198" s="0" t="s">
        <v>159</v>
      </c>
      <c r="D198" s="0" t="n">
        <v>38440</v>
      </c>
      <c r="E198" s="0" t="s">
        <v>471</v>
      </c>
      <c r="F198" s="0" t="n">
        <v>49526.8314793652</v>
      </c>
    </row>
    <row r="199" customFormat="false" ht="14.25" hidden="false" customHeight="false" outlineLevel="0" collapsed="false">
      <c r="A199" s="0" t="s">
        <v>165</v>
      </c>
      <c r="B199" s="0" t="n">
        <v>27060</v>
      </c>
      <c r="C199" s="0" t="s">
        <v>531</v>
      </c>
      <c r="D199" s="0" t="n">
        <v>39735.8006594844</v>
      </c>
      <c r="E199" s="0" t="s">
        <v>89</v>
      </c>
      <c r="F199" s="0" t="n">
        <v>50010</v>
      </c>
    </row>
    <row r="200" customFormat="false" ht="14.25" hidden="false" customHeight="false" outlineLevel="0" collapsed="false">
      <c r="A200" s="0" t="s">
        <v>215</v>
      </c>
      <c r="B200" s="0" t="n">
        <v>27220</v>
      </c>
      <c r="C200" s="0" t="s">
        <v>39</v>
      </c>
      <c r="D200" s="0" t="n">
        <v>40280</v>
      </c>
      <c r="E200" s="0" t="s">
        <v>155</v>
      </c>
      <c r="F200" s="0" t="n">
        <v>50400</v>
      </c>
    </row>
    <row r="201" customFormat="false" ht="14.25" hidden="false" customHeight="false" outlineLevel="0" collapsed="false">
      <c r="A201" s="0" t="s">
        <v>45</v>
      </c>
      <c r="B201" s="0" t="n">
        <v>27550</v>
      </c>
      <c r="C201" s="0" t="s">
        <v>315</v>
      </c>
      <c r="D201" s="0" t="n">
        <v>40780</v>
      </c>
      <c r="E201" s="0" t="s">
        <v>39</v>
      </c>
      <c r="F201" s="0" t="n">
        <v>50540</v>
      </c>
    </row>
    <row r="202" customFormat="false" ht="14.25" hidden="false" customHeight="false" outlineLevel="0" collapsed="false">
      <c r="A202" s="0" t="s">
        <v>125</v>
      </c>
      <c r="B202" s="0" t="n">
        <v>28020</v>
      </c>
      <c r="C202" s="0" t="s">
        <v>89</v>
      </c>
      <c r="D202" s="0" t="n">
        <v>40880</v>
      </c>
      <c r="E202" s="0" t="s">
        <v>531</v>
      </c>
      <c r="F202" s="0" t="n">
        <v>51475.6710407104</v>
      </c>
    </row>
    <row r="203" customFormat="false" ht="14.25" hidden="false" customHeight="false" outlineLevel="0" collapsed="false">
      <c r="A203" s="0" t="s">
        <v>485</v>
      </c>
      <c r="B203" s="0" t="n">
        <v>28140.3071795652</v>
      </c>
      <c r="C203" s="0" t="s">
        <v>55</v>
      </c>
      <c r="D203" s="0" t="n">
        <v>41010</v>
      </c>
      <c r="E203" s="0" t="s">
        <v>153</v>
      </c>
      <c r="F203" s="0" t="n">
        <v>51800</v>
      </c>
    </row>
    <row r="204" customFormat="false" ht="14.25" hidden="false" customHeight="false" outlineLevel="0" collapsed="false">
      <c r="A204" s="0" t="s">
        <v>191</v>
      </c>
      <c r="B204" s="0" t="n">
        <v>28480</v>
      </c>
      <c r="C204" s="0" t="s">
        <v>155</v>
      </c>
      <c r="D204" s="0" t="n">
        <v>41070</v>
      </c>
      <c r="E204" s="0" t="s">
        <v>485</v>
      </c>
      <c r="F204" s="0" t="n">
        <v>52628.6800039626</v>
      </c>
    </row>
    <row r="205" customFormat="false" ht="14.25" hidden="false" customHeight="false" outlineLevel="0" collapsed="false">
      <c r="A205" s="0" t="s">
        <v>55</v>
      </c>
      <c r="B205" s="0" t="n">
        <v>28510</v>
      </c>
      <c r="C205" s="0" t="s">
        <v>47</v>
      </c>
      <c r="D205" s="0" t="n">
        <v>41180</v>
      </c>
      <c r="E205" s="0" t="s">
        <v>55</v>
      </c>
      <c r="F205" s="0" t="n">
        <v>55370</v>
      </c>
    </row>
    <row r="206" customFormat="false" ht="14.25" hidden="false" customHeight="false" outlineLevel="0" collapsed="false">
      <c r="A206" s="0" t="s">
        <v>89</v>
      </c>
      <c r="B206" s="0" t="n">
        <v>28590</v>
      </c>
      <c r="C206" s="0" t="s">
        <v>485</v>
      </c>
      <c r="D206" s="0" t="n">
        <v>41454.0614319996</v>
      </c>
      <c r="E206" s="0" t="s">
        <v>393</v>
      </c>
      <c r="F206" s="0" t="n">
        <v>56670</v>
      </c>
    </row>
    <row r="207" customFormat="false" ht="14.25" hidden="false" customHeight="false" outlineLevel="0" collapsed="false">
      <c r="A207" s="0" t="s">
        <v>195</v>
      </c>
      <c r="B207" s="0" t="n">
        <v>28680</v>
      </c>
      <c r="C207" s="0" t="s">
        <v>167</v>
      </c>
      <c r="D207" s="0" t="n">
        <v>43630</v>
      </c>
      <c r="E207" s="0" t="s">
        <v>165</v>
      </c>
      <c r="F207" s="0" t="n">
        <v>57410</v>
      </c>
    </row>
    <row r="208" customFormat="false" ht="14.25" hidden="false" customHeight="false" outlineLevel="0" collapsed="false">
      <c r="A208" s="0" t="s">
        <v>41</v>
      </c>
      <c r="B208" s="0" t="n">
        <v>29130</v>
      </c>
      <c r="C208" s="0" t="s">
        <v>41</v>
      </c>
      <c r="D208" s="0" t="n">
        <v>44600</v>
      </c>
      <c r="E208" s="0" t="s">
        <v>231</v>
      </c>
      <c r="F208" s="0" t="n">
        <v>58930</v>
      </c>
    </row>
    <row r="209" customFormat="false" ht="14.25" hidden="false" customHeight="false" outlineLevel="0" collapsed="false">
      <c r="A209" s="0" t="s">
        <v>393</v>
      </c>
      <c r="B209" s="0" t="n">
        <v>29650</v>
      </c>
      <c r="C209" s="0" t="s">
        <v>125</v>
      </c>
      <c r="D209" s="0" t="n">
        <v>45340</v>
      </c>
      <c r="E209" s="0" t="s">
        <v>41</v>
      </c>
      <c r="F209" s="0" t="n">
        <v>58940</v>
      </c>
    </row>
    <row r="210" customFormat="false" ht="14.25" hidden="false" customHeight="false" outlineLevel="0" collapsed="false">
      <c r="A210" s="0" t="s">
        <v>253</v>
      </c>
      <c r="B210" s="0" t="n">
        <v>31980</v>
      </c>
      <c r="C210" s="0" t="s">
        <v>393</v>
      </c>
      <c r="D210" s="0" t="n">
        <v>45520</v>
      </c>
      <c r="E210" s="0" t="s">
        <v>195</v>
      </c>
      <c r="F210" s="0" t="n">
        <v>59590</v>
      </c>
    </row>
    <row r="211" customFormat="false" ht="14.25" hidden="false" customHeight="false" outlineLevel="0" collapsed="false">
      <c r="A211" s="0" t="s">
        <v>297</v>
      </c>
      <c r="B211" s="0" t="n">
        <v>32460</v>
      </c>
      <c r="C211" s="0" t="s">
        <v>297</v>
      </c>
      <c r="D211" s="0" t="n">
        <v>47250</v>
      </c>
      <c r="E211" s="0" t="s">
        <v>297</v>
      </c>
      <c r="F211" s="0" t="n">
        <v>59700</v>
      </c>
    </row>
    <row r="212" customFormat="false" ht="14.25" hidden="false" customHeight="false" outlineLevel="0" collapsed="false">
      <c r="A212" s="0" t="s">
        <v>315</v>
      </c>
      <c r="B212" s="0" t="n">
        <v>34410</v>
      </c>
      <c r="C212" s="0" t="s">
        <v>521</v>
      </c>
      <c r="D212" s="0" t="n">
        <v>49840.5221954061</v>
      </c>
      <c r="E212" s="0" t="s">
        <v>125</v>
      </c>
      <c r="F212" s="0" t="n">
        <v>62120</v>
      </c>
    </row>
    <row r="213" customFormat="false" ht="14.25" hidden="false" customHeight="false" outlineLevel="0" collapsed="false">
      <c r="A213" s="0" t="s">
        <v>521</v>
      </c>
      <c r="B213" s="0" t="n">
        <v>35998.4452888358</v>
      </c>
      <c r="C213" s="0" t="s">
        <v>431</v>
      </c>
      <c r="D213" s="0" t="n">
        <v>50820</v>
      </c>
      <c r="E213" s="0" t="s">
        <v>521</v>
      </c>
      <c r="F213" s="0" t="n">
        <v>64416.5214622962</v>
      </c>
    </row>
    <row r="214" customFormat="false" ht="14.25" hidden="false" customHeight="false" outlineLevel="0" collapsed="false">
      <c r="A214" s="0" t="s">
        <v>313</v>
      </c>
      <c r="B214" s="0" t="n">
        <v>36450</v>
      </c>
      <c r="C214" s="0" t="s">
        <v>193</v>
      </c>
      <c r="D214" s="0" t="n">
        <v>53710</v>
      </c>
      <c r="E214" s="0" t="s">
        <v>191</v>
      </c>
      <c r="F214" s="0" t="n">
        <v>65240</v>
      </c>
    </row>
    <row r="215" customFormat="false" ht="14.25" hidden="false" customHeight="false" outlineLevel="0" collapsed="false">
      <c r="A215" s="0" t="s">
        <v>431</v>
      </c>
      <c r="B215" s="0" t="n">
        <v>36800</v>
      </c>
      <c r="C215" s="0" t="s">
        <v>351</v>
      </c>
      <c r="D215" s="0" t="n">
        <v>56940</v>
      </c>
      <c r="E215" s="0" t="s">
        <v>431</v>
      </c>
      <c r="F215" s="0" t="n">
        <v>66060</v>
      </c>
    </row>
    <row r="216" customFormat="false" ht="14.25" hidden="false" customHeight="false" outlineLevel="0" collapsed="false">
      <c r="A216" s="0" t="s">
        <v>395</v>
      </c>
      <c r="B216" s="0" t="n">
        <v>39110</v>
      </c>
      <c r="C216" s="0" t="s">
        <v>395</v>
      </c>
      <c r="D216" s="0" t="n">
        <v>58510</v>
      </c>
      <c r="E216" s="0" t="s">
        <v>75</v>
      </c>
      <c r="F216" s="0" t="n">
        <v>66460</v>
      </c>
    </row>
    <row r="217" customFormat="false" ht="14.25" hidden="false" customHeight="false" outlineLevel="0" collapsed="false">
      <c r="A217" s="0" t="s">
        <v>351</v>
      </c>
      <c r="B217" s="0" t="n">
        <v>40070</v>
      </c>
      <c r="C217" s="0" t="s">
        <v>313</v>
      </c>
      <c r="D217" s="0" t="n">
        <v>62670</v>
      </c>
      <c r="E217" s="0" t="s">
        <v>205</v>
      </c>
      <c r="F217" s="0" t="n">
        <v>69190</v>
      </c>
    </row>
    <row r="218" customFormat="false" ht="14.25" hidden="false" customHeight="false" outlineLevel="0" collapsed="false">
      <c r="A218" s="0" t="s">
        <v>47</v>
      </c>
      <c r="B218" s="0" t="n">
        <v>41140</v>
      </c>
      <c r="C218" s="0" t="s">
        <v>427</v>
      </c>
      <c r="D218" s="0" t="n">
        <v>67710</v>
      </c>
      <c r="E218" s="0" t="s">
        <v>427</v>
      </c>
      <c r="F218" s="0" t="n">
        <v>70300</v>
      </c>
    </row>
    <row r="219" customFormat="false" ht="14.25" hidden="false" customHeight="false" outlineLevel="0" collapsed="false">
      <c r="A219" s="0" t="s">
        <v>361</v>
      </c>
      <c r="B219" s="0" t="n">
        <v>43570</v>
      </c>
      <c r="C219" s="0" t="s">
        <v>361</v>
      </c>
      <c r="D219" s="0" t="n">
        <v>77300</v>
      </c>
      <c r="E219" s="0" t="s">
        <v>313</v>
      </c>
      <c r="F219" s="0" t="n">
        <v>70330</v>
      </c>
    </row>
    <row r="220" customFormat="false" ht="14.25" hidden="false" customHeight="false" outlineLevel="0" collapsed="false">
      <c r="A220" s="0" t="s">
        <v>231</v>
      </c>
      <c r="B220" s="0" t="n">
        <v>66160</v>
      </c>
      <c r="C220" s="0" t="s">
        <v>75</v>
      </c>
      <c r="D220" s="0" t="n">
        <v>81680</v>
      </c>
      <c r="E220" s="0" t="s">
        <v>395</v>
      </c>
      <c r="F220" s="0" t="n">
        <v>73620</v>
      </c>
    </row>
    <row r="221" customFormat="false" ht="14.25" hidden="false" customHeight="false" outlineLevel="0" collapsed="false">
      <c r="A221" s="0" t="s">
        <v>75</v>
      </c>
      <c r="B221" s="0" t="n">
        <v>66440</v>
      </c>
      <c r="C221" s="0" t="s">
        <v>231</v>
      </c>
      <c r="D221" s="0" t="n">
        <v>82740</v>
      </c>
      <c r="E221" s="0" t="s">
        <v>361</v>
      </c>
      <c r="F221" s="0" t="n">
        <v>90320</v>
      </c>
    </row>
    <row r="222" customFormat="false" ht="14.25" hidden="false" customHeight="false" outlineLevel="0" collapsed="false">
      <c r="A222" s="0" t="s">
        <v>337</v>
      </c>
      <c r="B222" s="0" t="n">
        <v>89190</v>
      </c>
      <c r="C222" s="0" t="s">
        <v>253</v>
      </c>
      <c r="D222" s="0" t="n">
        <v>103410</v>
      </c>
      <c r="E222" s="0" t="s">
        <v>337</v>
      </c>
      <c r="F222" s="0" t="n">
        <v>91500</v>
      </c>
    </row>
    <row r="223" customFormat="false" ht="14.25" hidden="false" customHeight="false" outlineLevel="0" collapsed="false">
      <c r="A223" s="0" t="s">
        <v>427</v>
      </c>
      <c r="B223" s="0" t="n">
        <v>103160</v>
      </c>
      <c r="C223" s="0" t="s">
        <v>337</v>
      </c>
      <c r="D223" s="0" t="n">
        <v>128340</v>
      </c>
      <c r="E223" s="0" t="s">
        <v>253</v>
      </c>
      <c r="F223" s="0" t="n">
        <v>117340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H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7" activeCellId="0" sqref="D27"/>
    </sheetView>
  </sheetViews>
  <sheetFormatPr defaultColWidth="8.55078125" defaultRowHeight="14.25" zeroHeight="false" outlineLevelRow="0" outlineLevelCol="0"/>
  <cols>
    <col collapsed="false" customWidth="true" hidden="false" outlineLevel="0" max="3" min="3" style="0" width="37.56"/>
    <col collapsed="false" customWidth="true" hidden="false" outlineLevel="0" max="4" min="4" style="0" width="12.89"/>
    <col collapsed="false" customWidth="true" hidden="false" outlineLevel="0" max="5" min="5" style="0" width="38.34"/>
    <col collapsed="false" customWidth="true" hidden="false" outlineLevel="0" max="6" min="6" style="0" width="12.89"/>
    <col collapsed="false" customWidth="true" hidden="false" outlineLevel="0" max="7" min="7" style="0" width="32.78"/>
    <col collapsed="false" customWidth="true" hidden="false" outlineLevel="0" max="8" min="8" style="0" width="12.89"/>
  </cols>
  <sheetData>
    <row r="1" customFormat="false" ht="15" hidden="false" customHeight="false" outlineLevel="0" collapsed="false">
      <c r="E1" s="3" t="s">
        <v>553</v>
      </c>
    </row>
    <row r="3" customFormat="false" ht="14.25" hidden="false" customHeight="false" outlineLevel="0" collapsed="false">
      <c r="C3" s="4"/>
      <c r="D3" s="4"/>
      <c r="E3" s="5" t="s">
        <v>554</v>
      </c>
      <c r="F3" s="4"/>
      <c r="G3" s="4"/>
      <c r="H3" s="4"/>
    </row>
    <row r="4" customFormat="false" ht="14.25" hidden="false" customHeight="false" outlineLevel="0" collapsed="false">
      <c r="C4" s="4" t="s">
        <v>2</v>
      </c>
      <c r="D4" s="4" t="s">
        <v>5</v>
      </c>
      <c r="E4" s="4" t="s">
        <v>2</v>
      </c>
      <c r="F4" s="4" t="s">
        <v>6</v>
      </c>
      <c r="G4" s="4" t="s">
        <v>2</v>
      </c>
      <c r="H4" s="4" t="s">
        <v>14</v>
      </c>
    </row>
    <row r="5" customFormat="false" ht="14.25" hidden="false" customHeight="false" outlineLevel="0" collapsed="false">
      <c r="C5" s="0" t="s">
        <v>107</v>
      </c>
      <c r="D5" s="0" t="n">
        <v>440</v>
      </c>
      <c r="E5" s="0" t="s">
        <v>107</v>
      </c>
      <c r="F5" s="0" t="n">
        <v>640</v>
      </c>
      <c r="G5" s="0" t="s">
        <v>81</v>
      </c>
      <c r="H5" s="0" t="n">
        <v>790</v>
      </c>
    </row>
    <row r="6" customFormat="false" ht="14.25" hidden="false" customHeight="false" outlineLevel="0" collapsed="false">
      <c r="C6" s="0" t="s">
        <v>287</v>
      </c>
      <c r="D6" s="0" t="n">
        <v>460</v>
      </c>
      <c r="E6" s="0" t="s">
        <v>81</v>
      </c>
      <c r="F6" s="0" t="n">
        <v>680</v>
      </c>
      <c r="G6" s="0" t="s">
        <v>93</v>
      </c>
      <c r="H6" s="0" t="n">
        <v>1060</v>
      </c>
    </row>
    <row r="7" customFormat="false" ht="14.25" hidden="false" customHeight="false" outlineLevel="0" collapsed="false">
      <c r="C7" s="0" t="s">
        <v>147</v>
      </c>
      <c r="D7" s="0" t="n">
        <v>480</v>
      </c>
      <c r="E7" s="0" t="s">
        <v>287</v>
      </c>
      <c r="F7" s="0" t="n">
        <v>1000</v>
      </c>
      <c r="G7" s="0" t="s">
        <v>107</v>
      </c>
      <c r="H7" s="0" t="n">
        <v>1110</v>
      </c>
    </row>
    <row r="8" customFormat="false" ht="14.25" hidden="false" customHeight="false" outlineLevel="0" collapsed="false">
      <c r="C8" s="0" t="s">
        <v>81</v>
      </c>
      <c r="D8" s="0" t="n">
        <v>540</v>
      </c>
      <c r="E8" s="0" t="s">
        <v>93</v>
      </c>
      <c r="F8" s="0" t="n">
        <v>1020</v>
      </c>
      <c r="G8" s="0" t="s">
        <v>287</v>
      </c>
      <c r="H8" s="0" t="n">
        <v>1310</v>
      </c>
    </row>
    <row r="9" customFormat="false" ht="14.25" hidden="false" customHeight="false" outlineLevel="0" collapsed="false">
      <c r="C9" s="0" t="s">
        <v>343</v>
      </c>
      <c r="D9" s="0" t="n">
        <v>630</v>
      </c>
      <c r="E9" s="0" t="s">
        <v>243</v>
      </c>
      <c r="F9" s="0" t="n">
        <v>1040</v>
      </c>
      <c r="G9" s="0" t="s">
        <v>243</v>
      </c>
      <c r="H9" s="0" t="n">
        <v>1320</v>
      </c>
    </row>
    <row r="10" customFormat="false" ht="14.25" hidden="false" customHeight="false" outlineLevel="0" collapsed="false">
      <c r="C10" s="0" t="s">
        <v>93</v>
      </c>
      <c r="D10" s="0" t="n">
        <v>660</v>
      </c>
      <c r="E10" s="0" t="s">
        <v>257</v>
      </c>
      <c r="F10" s="0" t="n">
        <v>1050</v>
      </c>
      <c r="G10" s="0" t="s">
        <v>305</v>
      </c>
      <c r="H10" s="0" t="n">
        <v>1330</v>
      </c>
    </row>
    <row r="11" customFormat="false" ht="14.25" hidden="false" customHeight="false" outlineLevel="0" collapsed="false">
      <c r="C11" s="0" t="s">
        <v>257</v>
      </c>
      <c r="D11" s="0" t="n">
        <v>670</v>
      </c>
      <c r="E11" s="0" t="s">
        <v>151</v>
      </c>
      <c r="F11" s="0" t="n">
        <v>1130</v>
      </c>
      <c r="G11" s="0" t="s">
        <v>257</v>
      </c>
      <c r="H11" s="0" t="n">
        <v>1550</v>
      </c>
    </row>
    <row r="12" customFormat="false" ht="14.25" hidden="false" customHeight="false" outlineLevel="0" collapsed="false">
      <c r="C12" s="0" t="s">
        <v>359</v>
      </c>
      <c r="D12" s="0" t="n">
        <v>670</v>
      </c>
      <c r="E12" s="0" t="s">
        <v>305</v>
      </c>
      <c r="F12" s="0" t="n">
        <v>1140</v>
      </c>
      <c r="G12" s="0" t="s">
        <v>95</v>
      </c>
      <c r="H12" s="0" t="n">
        <v>1620</v>
      </c>
    </row>
    <row r="13" customFormat="false" ht="14.25" hidden="false" customHeight="false" outlineLevel="0" collapsed="false">
      <c r="C13" s="0" t="s">
        <v>95</v>
      </c>
      <c r="D13" s="0" t="n">
        <v>760</v>
      </c>
      <c r="E13" s="0" t="s">
        <v>359</v>
      </c>
      <c r="F13" s="0" t="n">
        <v>1190</v>
      </c>
      <c r="G13" s="0" t="s">
        <v>255</v>
      </c>
      <c r="H13" s="0" t="n">
        <v>1620</v>
      </c>
    </row>
    <row r="14" customFormat="false" ht="14.25" hidden="false" customHeight="false" outlineLevel="0" collapsed="false">
      <c r="C14" s="0" t="s">
        <v>305</v>
      </c>
      <c r="D14" s="0" t="n">
        <v>810</v>
      </c>
      <c r="E14" s="0" t="s">
        <v>407</v>
      </c>
      <c r="F14" s="0" t="n">
        <v>1280</v>
      </c>
      <c r="G14" s="0" t="s">
        <v>359</v>
      </c>
      <c r="H14" s="0" t="n">
        <v>1770</v>
      </c>
    </row>
    <row r="15" customFormat="false" ht="14.25" hidden="false" customHeight="false" outlineLevel="0" collapsed="false">
      <c r="C15" s="0" t="s">
        <v>243</v>
      </c>
      <c r="D15" s="0" t="n">
        <v>880</v>
      </c>
      <c r="E15" s="0" t="s">
        <v>343</v>
      </c>
      <c r="F15" s="0" t="n">
        <v>1440</v>
      </c>
      <c r="G15" s="0" t="s">
        <v>183</v>
      </c>
      <c r="H15" s="0" t="n">
        <v>2060</v>
      </c>
    </row>
    <row r="16" customFormat="false" ht="14.25" hidden="false" customHeight="false" outlineLevel="0" collapsed="false">
      <c r="C16" s="0" t="s">
        <v>79</v>
      </c>
      <c r="D16" s="0" t="n">
        <v>920</v>
      </c>
      <c r="E16" s="0" t="s">
        <v>185</v>
      </c>
      <c r="F16" s="0" t="n">
        <v>1450</v>
      </c>
      <c r="G16" s="0" t="s">
        <v>79</v>
      </c>
      <c r="H16" s="0" t="n">
        <v>2180</v>
      </c>
    </row>
    <row r="17" customFormat="false" ht="14.25" hidden="false" customHeight="false" outlineLevel="0" collapsed="false">
      <c r="C17" s="0" t="s">
        <v>289</v>
      </c>
      <c r="D17" s="0" t="n">
        <v>920</v>
      </c>
      <c r="E17" s="0" t="s">
        <v>79</v>
      </c>
      <c r="F17" s="0" t="n">
        <v>1520</v>
      </c>
      <c r="G17" s="0" t="s">
        <v>407</v>
      </c>
      <c r="H17" s="0" t="n">
        <v>2220</v>
      </c>
    </row>
    <row r="18" customFormat="false" ht="14.25" hidden="false" customHeight="false" outlineLevel="0" collapsed="false">
      <c r="C18" s="0" t="s">
        <v>407</v>
      </c>
      <c r="D18" s="0" t="n">
        <v>950</v>
      </c>
      <c r="E18" s="0" t="s">
        <v>255</v>
      </c>
      <c r="F18" s="0" t="n">
        <v>1530</v>
      </c>
      <c r="G18" s="0" t="s">
        <v>423</v>
      </c>
      <c r="H18" s="0" t="n">
        <v>2220</v>
      </c>
    </row>
    <row r="19" customFormat="false" ht="14.25" hidden="false" customHeight="false" outlineLevel="0" collapsed="false">
      <c r="C19" s="0" t="s">
        <v>399</v>
      </c>
      <c r="D19" s="0" t="n">
        <v>1000</v>
      </c>
      <c r="E19" s="0" t="s">
        <v>183</v>
      </c>
      <c r="F19" s="0" t="n">
        <v>1710</v>
      </c>
      <c r="G19" s="0" t="s">
        <v>343</v>
      </c>
      <c r="H19" s="0" t="n">
        <v>2240</v>
      </c>
    </row>
    <row r="20" customFormat="false" ht="14.25" hidden="false" customHeight="false" outlineLevel="0" collapsed="false">
      <c r="C20" s="0" t="s">
        <v>85</v>
      </c>
      <c r="D20" s="0" t="n">
        <v>1040</v>
      </c>
      <c r="E20" s="0" t="s">
        <v>95</v>
      </c>
      <c r="F20" s="0" t="n">
        <v>1750</v>
      </c>
      <c r="G20" s="0" t="s">
        <v>161</v>
      </c>
      <c r="H20" s="0" t="n">
        <v>2280</v>
      </c>
    </row>
    <row r="21" customFormat="false" ht="14.25" hidden="false" customHeight="false" outlineLevel="0" collapsed="false">
      <c r="C21" s="0" t="s">
        <v>183</v>
      </c>
      <c r="D21" s="0" t="n">
        <v>1040</v>
      </c>
      <c r="E21" s="0" t="s">
        <v>263</v>
      </c>
      <c r="F21" s="0" t="n">
        <v>1760</v>
      </c>
      <c r="G21" s="0" t="s">
        <v>147</v>
      </c>
      <c r="H21" s="0" t="n">
        <v>2300</v>
      </c>
    </row>
    <row r="22" customFormat="false" ht="14.25" hidden="false" customHeight="false" outlineLevel="0" collapsed="false">
      <c r="C22" s="0" t="s">
        <v>509</v>
      </c>
      <c r="D22" s="0" t="n">
        <v>1088.39093283118</v>
      </c>
      <c r="E22" s="0" t="s">
        <v>509</v>
      </c>
      <c r="F22" s="0" t="n">
        <v>1795.54164879399</v>
      </c>
      <c r="G22" s="0" t="s">
        <v>263</v>
      </c>
      <c r="H22" s="0" t="n">
        <v>2330</v>
      </c>
    </row>
    <row r="23" customFormat="false" ht="14.25" hidden="false" customHeight="false" outlineLevel="0" collapsed="false">
      <c r="C23" s="0" t="s">
        <v>263</v>
      </c>
      <c r="D23" s="0" t="n">
        <v>1120</v>
      </c>
      <c r="E23" s="0" t="s">
        <v>451</v>
      </c>
      <c r="F23" s="0" t="n">
        <v>1800</v>
      </c>
      <c r="G23" s="0" t="s">
        <v>509</v>
      </c>
      <c r="H23" s="0" t="n">
        <v>2465.45052219414</v>
      </c>
    </row>
    <row r="24" customFormat="false" ht="14.25" hidden="false" customHeight="false" outlineLevel="0" collapsed="false">
      <c r="C24" s="0" t="s">
        <v>423</v>
      </c>
      <c r="D24" s="0" t="n">
        <v>1120</v>
      </c>
      <c r="E24" s="0" t="s">
        <v>483</v>
      </c>
      <c r="F24" s="0" t="n">
        <v>1906.32634684487</v>
      </c>
      <c r="G24" s="0" t="s">
        <v>181</v>
      </c>
      <c r="H24" s="0" t="n">
        <v>2540</v>
      </c>
    </row>
    <row r="25" customFormat="false" ht="14.25" hidden="false" customHeight="false" outlineLevel="0" collapsed="false">
      <c r="C25" s="0" t="s">
        <v>483</v>
      </c>
      <c r="D25" s="0" t="n">
        <v>1173.12165477999</v>
      </c>
      <c r="E25" s="0" t="s">
        <v>369</v>
      </c>
      <c r="F25" s="0" t="n">
        <v>2160</v>
      </c>
      <c r="G25" s="0" t="s">
        <v>483</v>
      </c>
      <c r="H25" s="0" t="n">
        <v>2628.26101312338</v>
      </c>
    </row>
    <row r="26" customFormat="false" ht="14.25" hidden="false" customHeight="false" outlineLevel="0" collapsed="false">
      <c r="C26" s="0" t="s">
        <v>505</v>
      </c>
      <c r="D26" s="0" t="n">
        <v>1174.65732173108</v>
      </c>
      <c r="E26" s="0" t="s">
        <v>163</v>
      </c>
      <c r="F26" s="0" t="n">
        <v>2170</v>
      </c>
      <c r="G26" s="0" t="s">
        <v>369</v>
      </c>
      <c r="H26" s="0" t="n">
        <v>2740</v>
      </c>
    </row>
    <row r="27" customFormat="false" ht="14.25" hidden="false" customHeight="false" outlineLevel="0" collapsed="false">
      <c r="C27" s="0" t="s">
        <v>555</v>
      </c>
      <c r="D27" s="6" t="n">
        <f aca="false">AVERAGE(D5:D26)</f>
        <v>843.007723151921</v>
      </c>
      <c r="E27" s="2" t="s">
        <v>555</v>
      </c>
      <c r="F27" s="6" t="n">
        <f aca="false">AVERAGE(F5:F26)</f>
        <v>1416.44854525631</v>
      </c>
      <c r="G27" s="2" t="s">
        <v>555</v>
      </c>
      <c r="H27" s="6" t="n">
        <f aca="false">AVERAGE(H5:H26)</f>
        <v>1894.71416069625</v>
      </c>
    </row>
    <row r="30" customFormat="false" ht="14.25" hidden="false" customHeight="false" outlineLevel="0" collapsed="false">
      <c r="E30" s="4" t="s">
        <v>556</v>
      </c>
    </row>
    <row r="31" customFormat="false" ht="14.25" hidden="false" customHeight="false" outlineLevel="0" collapsed="false">
      <c r="C31" s="0" t="s">
        <v>125</v>
      </c>
      <c r="D31" s="0" t="n">
        <v>28020</v>
      </c>
      <c r="E31" s="0" t="s">
        <v>89</v>
      </c>
      <c r="F31" s="0" t="n">
        <v>40880</v>
      </c>
      <c r="G31" s="0" t="s">
        <v>531</v>
      </c>
      <c r="H31" s="0" t="n">
        <v>51475.6710407104</v>
      </c>
    </row>
    <row r="32" customFormat="false" ht="14.25" hidden="false" customHeight="false" outlineLevel="0" collapsed="false">
      <c r="C32" s="0" t="s">
        <v>485</v>
      </c>
      <c r="D32" s="0" t="n">
        <v>28140.3071795652</v>
      </c>
      <c r="E32" s="0" t="s">
        <v>55</v>
      </c>
      <c r="F32" s="0" t="n">
        <v>41010</v>
      </c>
      <c r="G32" s="0" t="s">
        <v>153</v>
      </c>
      <c r="H32" s="0" t="n">
        <v>51800</v>
      </c>
    </row>
    <row r="33" customFormat="false" ht="14.25" hidden="false" customHeight="false" outlineLevel="0" collapsed="false">
      <c r="C33" s="0" t="s">
        <v>191</v>
      </c>
      <c r="D33" s="0" t="n">
        <v>28480</v>
      </c>
      <c r="E33" s="0" t="s">
        <v>155</v>
      </c>
      <c r="F33" s="0" t="n">
        <v>41070</v>
      </c>
      <c r="G33" s="0" t="s">
        <v>485</v>
      </c>
      <c r="H33" s="0" t="n">
        <v>52628.6800039626</v>
      </c>
    </row>
    <row r="34" customFormat="false" ht="14.25" hidden="false" customHeight="false" outlineLevel="0" collapsed="false">
      <c r="C34" s="0" t="s">
        <v>55</v>
      </c>
      <c r="D34" s="0" t="n">
        <v>28510</v>
      </c>
      <c r="E34" s="0" t="s">
        <v>47</v>
      </c>
      <c r="F34" s="0" t="n">
        <v>41180</v>
      </c>
      <c r="G34" s="0" t="s">
        <v>55</v>
      </c>
      <c r="H34" s="0" t="n">
        <v>55370</v>
      </c>
    </row>
    <row r="35" customFormat="false" ht="14.25" hidden="false" customHeight="false" outlineLevel="0" collapsed="false">
      <c r="C35" s="0" t="s">
        <v>89</v>
      </c>
      <c r="D35" s="0" t="n">
        <v>28590</v>
      </c>
      <c r="E35" s="0" t="s">
        <v>485</v>
      </c>
      <c r="F35" s="0" t="n">
        <v>41454.0614319996</v>
      </c>
      <c r="G35" s="0" t="s">
        <v>393</v>
      </c>
      <c r="H35" s="0" t="n">
        <v>56670</v>
      </c>
    </row>
    <row r="36" customFormat="false" ht="14.25" hidden="false" customHeight="false" outlineLevel="0" collapsed="false">
      <c r="C36" s="0" t="s">
        <v>195</v>
      </c>
      <c r="D36" s="0" t="n">
        <v>28680</v>
      </c>
      <c r="E36" s="0" t="s">
        <v>167</v>
      </c>
      <c r="F36" s="0" t="n">
        <v>43630</v>
      </c>
      <c r="G36" s="0" t="s">
        <v>165</v>
      </c>
      <c r="H36" s="0" t="n">
        <v>57410</v>
      </c>
    </row>
    <row r="37" customFormat="false" ht="14.25" hidden="false" customHeight="false" outlineLevel="0" collapsed="false">
      <c r="C37" s="0" t="s">
        <v>41</v>
      </c>
      <c r="D37" s="0" t="n">
        <v>29130</v>
      </c>
      <c r="E37" s="0" t="s">
        <v>41</v>
      </c>
      <c r="F37" s="0" t="n">
        <v>44600</v>
      </c>
      <c r="G37" s="0" t="s">
        <v>231</v>
      </c>
      <c r="H37" s="0" t="n">
        <v>58930</v>
      </c>
    </row>
    <row r="38" customFormat="false" ht="14.25" hidden="false" customHeight="false" outlineLevel="0" collapsed="false">
      <c r="C38" s="0" t="s">
        <v>393</v>
      </c>
      <c r="D38" s="0" t="n">
        <v>29650</v>
      </c>
      <c r="E38" s="0" t="s">
        <v>125</v>
      </c>
      <c r="F38" s="0" t="n">
        <v>45340</v>
      </c>
      <c r="G38" s="0" t="s">
        <v>41</v>
      </c>
      <c r="H38" s="0" t="n">
        <v>58940</v>
      </c>
    </row>
    <row r="39" customFormat="false" ht="14.25" hidden="false" customHeight="false" outlineLevel="0" collapsed="false">
      <c r="C39" s="0" t="s">
        <v>253</v>
      </c>
      <c r="D39" s="0" t="n">
        <v>31980</v>
      </c>
      <c r="E39" s="0" t="s">
        <v>393</v>
      </c>
      <c r="F39" s="0" t="n">
        <v>45520</v>
      </c>
      <c r="G39" s="0" t="s">
        <v>195</v>
      </c>
      <c r="H39" s="0" t="n">
        <v>59590</v>
      </c>
    </row>
    <row r="40" customFormat="false" ht="14.25" hidden="false" customHeight="false" outlineLevel="0" collapsed="false">
      <c r="C40" s="0" t="s">
        <v>297</v>
      </c>
      <c r="D40" s="0" t="n">
        <v>32460</v>
      </c>
      <c r="E40" s="0" t="s">
        <v>297</v>
      </c>
      <c r="F40" s="0" t="n">
        <v>47250</v>
      </c>
      <c r="G40" s="0" t="s">
        <v>297</v>
      </c>
      <c r="H40" s="0" t="n">
        <v>59700</v>
      </c>
    </row>
    <row r="41" customFormat="false" ht="14.25" hidden="false" customHeight="false" outlineLevel="0" collapsed="false">
      <c r="C41" s="0" t="s">
        <v>315</v>
      </c>
      <c r="D41" s="0" t="n">
        <v>34410</v>
      </c>
      <c r="E41" s="0" t="s">
        <v>521</v>
      </c>
      <c r="F41" s="0" t="n">
        <v>49840.5221954061</v>
      </c>
      <c r="G41" s="0" t="s">
        <v>125</v>
      </c>
      <c r="H41" s="0" t="n">
        <v>62120</v>
      </c>
    </row>
    <row r="42" customFormat="false" ht="14.25" hidden="false" customHeight="false" outlineLevel="0" collapsed="false">
      <c r="C42" s="0" t="s">
        <v>521</v>
      </c>
      <c r="D42" s="0" t="n">
        <v>35998.4452888358</v>
      </c>
      <c r="E42" s="0" t="s">
        <v>431</v>
      </c>
      <c r="F42" s="0" t="n">
        <v>50820</v>
      </c>
      <c r="G42" s="0" t="s">
        <v>521</v>
      </c>
      <c r="H42" s="0" t="n">
        <v>64416.5214622962</v>
      </c>
    </row>
    <row r="43" customFormat="false" ht="14.25" hidden="false" customHeight="false" outlineLevel="0" collapsed="false">
      <c r="C43" s="0" t="s">
        <v>313</v>
      </c>
      <c r="D43" s="0" t="n">
        <v>36450</v>
      </c>
      <c r="E43" s="0" t="s">
        <v>193</v>
      </c>
      <c r="F43" s="0" t="n">
        <v>53710</v>
      </c>
      <c r="G43" s="0" t="s">
        <v>191</v>
      </c>
      <c r="H43" s="0" t="n">
        <v>65240</v>
      </c>
    </row>
    <row r="44" customFormat="false" ht="14.25" hidden="false" customHeight="false" outlineLevel="0" collapsed="false">
      <c r="C44" s="0" t="s">
        <v>431</v>
      </c>
      <c r="D44" s="0" t="n">
        <v>36800</v>
      </c>
      <c r="E44" s="0" t="s">
        <v>351</v>
      </c>
      <c r="F44" s="0" t="n">
        <v>56940</v>
      </c>
      <c r="G44" s="0" t="s">
        <v>431</v>
      </c>
      <c r="H44" s="0" t="n">
        <v>66060</v>
      </c>
    </row>
    <row r="45" customFormat="false" ht="14.25" hidden="false" customHeight="false" outlineLevel="0" collapsed="false">
      <c r="C45" s="0" t="s">
        <v>395</v>
      </c>
      <c r="D45" s="0" t="n">
        <v>39110</v>
      </c>
      <c r="E45" s="0" t="s">
        <v>395</v>
      </c>
      <c r="F45" s="0" t="n">
        <v>58510</v>
      </c>
      <c r="G45" s="0" t="s">
        <v>75</v>
      </c>
      <c r="H45" s="0" t="n">
        <v>66460</v>
      </c>
    </row>
    <row r="46" customFormat="false" ht="14.25" hidden="false" customHeight="false" outlineLevel="0" collapsed="false">
      <c r="C46" s="0" t="s">
        <v>351</v>
      </c>
      <c r="D46" s="0" t="n">
        <v>40070</v>
      </c>
      <c r="E46" s="0" t="s">
        <v>313</v>
      </c>
      <c r="F46" s="0" t="n">
        <v>62670</v>
      </c>
      <c r="G46" s="0" t="s">
        <v>205</v>
      </c>
      <c r="H46" s="0" t="n">
        <v>69190</v>
      </c>
    </row>
    <row r="47" customFormat="false" ht="14.25" hidden="false" customHeight="false" outlineLevel="0" collapsed="false">
      <c r="C47" s="0" t="s">
        <v>47</v>
      </c>
      <c r="D47" s="0" t="n">
        <v>41140</v>
      </c>
      <c r="E47" s="0" t="s">
        <v>427</v>
      </c>
      <c r="F47" s="0" t="n">
        <v>67710</v>
      </c>
      <c r="G47" s="0" t="s">
        <v>427</v>
      </c>
      <c r="H47" s="0" t="n">
        <v>70300</v>
      </c>
    </row>
    <row r="48" customFormat="false" ht="14.25" hidden="false" customHeight="false" outlineLevel="0" collapsed="false">
      <c r="C48" s="0" t="s">
        <v>361</v>
      </c>
      <c r="D48" s="0" t="n">
        <v>43570</v>
      </c>
      <c r="E48" s="0" t="s">
        <v>361</v>
      </c>
      <c r="F48" s="0" t="n">
        <v>77300</v>
      </c>
      <c r="G48" s="0" t="s">
        <v>313</v>
      </c>
      <c r="H48" s="0" t="n">
        <v>70330</v>
      </c>
    </row>
    <row r="49" customFormat="false" ht="14.25" hidden="false" customHeight="false" outlineLevel="0" collapsed="false">
      <c r="C49" s="0" t="s">
        <v>231</v>
      </c>
      <c r="D49" s="0" t="n">
        <v>66160</v>
      </c>
      <c r="E49" s="0" t="s">
        <v>75</v>
      </c>
      <c r="F49" s="0" t="n">
        <v>81680</v>
      </c>
      <c r="G49" s="0" t="s">
        <v>395</v>
      </c>
      <c r="H49" s="0" t="n">
        <v>73620</v>
      </c>
    </row>
    <row r="50" customFormat="false" ht="14.25" hidden="false" customHeight="false" outlineLevel="0" collapsed="false">
      <c r="C50" s="0" t="s">
        <v>75</v>
      </c>
      <c r="D50" s="0" t="n">
        <v>66440</v>
      </c>
      <c r="E50" s="0" t="s">
        <v>231</v>
      </c>
      <c r="F50" s="0" t="n">
        <v>82740</v>
      </c>
      <c r="G50" s="0" t="s">
        <v>361</v>
      </c>
      <c r="H50" s="0" t="n">
        <v>90320</v>
      </c>
    </row>
    <row r="51" customFormat="false" ht="14.25" hidden="false" customHeight="false" outlineLevel="0" collapsed="false">
      <c r="C51" s="0" t="s">
        <v>337</v>
      </c>
      <c r="D51" s="0" t="n">
        <v>89190</v>
      </c>
      <c r="E51" s="0" t="s">
        <v>253</v>
      </c>
      <c r="F51" s="0" t="n">
        <v>103410</v>
      </c>
      <c r="G51" s="0" t="s">
        <v>337</v>
      </c>
      <c r="H51" s="0" t="n">
        <v>91500</v>
      </c>
    </row>
    <row r="52" customFormat="false" ht="14.25" hidden="false" customHeight="false" outlineLevel="0" collapsed="false">
      <c r="C52" s="0" t="s">
        <v>427</v>
      </c>
      <c r="D52" s="0" t="n">
        <v>103160</v>
      </c>
      <c r="E52" s="0" t="s">
        <v>337</v>
      </c>
      <c r="F52" s="0" t="n">
        <v>128340</v>
      </c>
      <c r="G52" s="0" t="s">
        <v>253</v>
      </c>
      <c r="H52" s="0" t="n">
        <v>117340</v>
      </c>
    </row>
    <row r="53" customFormat="false" ht="14.25" hidden="false" customHeight="false" outlineLevel="0" collapsed="false">
      <c r="C53" s="0" t="s">
        <v>555</v>
      </c>
      <c r="D53" s="7" t="n">
        <f aca="false">AVERAGE(D31:D52)</f>
        <v>42097.216021291</v>
      </c>
      <c r="E53" s="2" t="s">
        <v>555</v>
      </c>
      <c r="F53" s="7" t="n">
        <f aca="false">AVERAGE(F31:F52)</f>
        <v>59345.6628921548</v>
      </c>
      <c r="G53" s="2" t="s">
        <v>555</v>
      </c>
      <c r="H53" s="7" t="n">
        <f aca="false">AVERAGE(H31:H52)</f>
        <v>66791.4032957713</v>
      </c>
    </row>
    <row r="58" customFormat="false" ht="14.25" hidden="false" customHeight="false" outlineLevel="0" collapsed="false">
      <c r="C58" s="0" t="s">
        <v>557</v>
      </c>
      <c r="D58" s="8" t="n">
        <v>10441.9972602384</v>
      </c>
      <c r="F58" s="8" t="n">
        <v>16508.0256543584</v>
      </c>
      <c r="H58" s="8" t="n">
        <v>20555.900772353</v>
      </c>
    </row>
    <row r="62" customFormat="false" ht="14.25" hidden="false" customHeight="false" outlineLevel="0" collapsed="false">
      <c r="C62" s="9"/>
      <c r="D62" s="10" t="s">
        <v>558</v>
      </c>
      <c r="E62" s="11"/>
      <c r="F62" s="10" t="s">
        <v>559</v>
      </c>
      <c r="G62" s="11"/>
      <c r="H62" s="10" t="s">
        <v>560</v>
      </c>
    </row>
    <row r="63" customFormat="false" ht="14.25" hidden="false" customHeight="false" outlineLevel="0" collapsed="false">
      <c r="C63" s="12" t="s">
        <v>561</v>
      </c>
      <c r="D63" s="13" t="n">
        <f aca="false">D27/D58</f>
        <v>0.0807324214077293</v>
      </c>
      <c r="E63" s="14"/>
      <c r="F63" s="13" t="n">
        <f aca="false">F27/F58</f>
        <v>0.0858036312102739</v>
      </c>
      <c r="G63" s="14"/>
      <c r="H63" s="13" t="n">
        <f aca="false">H27/H58</f>
        <v>0.0921737354971365</v>
      </c>
    </row>
    <row r="64" customFormat="false" ht="14.25" hidden="false" customHeight="false" outlineLevel="0" collapsed="false">
      <c r="C64" s="15" t="s">
        <v>562</v>
      </c>
      <c r="D64" s="16" t="n">
        <f aca="false">D53/D58</f>
        <v>4.03152911958625</v>
      </c>
      <c r="E64" s="17"/>
      <c r="F64" s="16" t="n">
        <f aca="false">F53/F58</f>
        <v>3.59495824241625</v>
      </c>
      <c r="G64" s="17"/>
      <c r="H64" s="16" t="n">
        <f aca="false">H53/H58</f>
        <v>3.24925694259059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8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I4" activeCellId="0" sqref="I4"/>
    </sheetView>
  </sheetViews>
  <sheetFormatPr defaultColWidth="8.55078125" defaultRowHeight="14.25" zeroHeight="false" outlineLevelRow="0" outlineLevelCol="0"/>
  <cols>
    <col collapsed="false" customWidth="true" hidden="false" outlineLevel="0" max="1" min="1" style="0" width="48.89"/>
    <col collapsed="false" customWidth="true" hidden="false" outlineLevel="0" max="5" min="2" style="0" width="12.89"/>
  </cols>
  <sheetData>
    <row r="1" customFormat="false" ht="14.25" hidden="false" customHeight="false" outlineLevel="0" collapsed="false">
      <c r="A1" s="0" t="s">
        <v>2</v>
      </c>
      <c r="B1" s="0" t="s">
        <v>5</v>
      </c>
      <c r="C1" s="0" t="s">
        <v>6</v>
      </c>
      <c r="D1" s="0" t="s">
        <v>14</v>
      </c>
    </row>
    <row r="2" customFormat="false" ht="14.25" hidden="false" customHeight="false" outlineLevel="0" collapsed="false">
      <c r="A2" s="0" t="s">
        <v>23</v>
      </c>
      <c r="B2" s="0" t="n">
        <v>1.69141121457778</v>
      </c>
      <c r="C2" s="0" t="n">
        <v>0.182082916952737</v>
      </c>
      <c r="D2" s="0" t="n">
        <v>-1.0953682264676</v>
      </c>
    </row>
    <row r="3" customFormat="false" ht="14.25" hidden="false" customHeight="false" outlineLevel="0" collapsed="false">
      <c r="A3" s="0" t="s">
        <v>33</v>
      </c>
      <c r="B3" s="0" t="n">
        <v>-1.91700116096739</v>
      </c>
      <c r="C3" s="0" t="n">
        <v>5.36703527408908</v>
      </c>
      <c r="D3" s="0" t="n">
        <v>-3.39394801581393</v>
      </c>
    </row>
    <row r="4" customFormat="false" ht="14.25" hidden="false" customHeight="false" outlineLevel="0" collapsed="false">
      <c r="A4" s="0" t="s">
        <v>35</v>
      </c>
      <c r="B4" s="0" t="n">
        <v>6.48950746334258</v>
      </c>
      <c r="C4" s="0" t="n">
        <v>3.36022607798168</v>
      </c>
      <c r="D4" s="0" t="n">
        <v>7.27454790824467</v>
      </c>
      <c r="I4" s="0" t="s">
        <v>563</v>
      </c>
    </row>
    <row r="5" customFormat="false" ht="14.25" hidden="false" customHeight="false" outlineLevel="0" collapsed="false">
      <c r="A5" s="0" t="s">
        <v>45</v>
      </c>
      <c r="B5" s="0" t="n">
        <v>2.66455077018497</v>
      </c>
      <c r="C5" s="0" t="n">
        <v>-0.458805787141884</v>
      </c>
      <c r="D5" s="0" t="n">
        <v>2.24074392772178</v>
      </c>
    </row>
    <row r="6" customFormat="false" ht="14.25" hidden="false" customHeight="false" outlineLevel="0" collapsed="false">
      <c r="A6" s="0" t="s">
        <v>49</v>
      </c>
      <c r="B6" s="0" t="n">
        <v>3.44408145208746</v>
      </c>
      <c r="C6" s="0" t="n">
        <v>5.04518867526424</v>
      </c>
      <c r="D6" s="0" t="n">
        <v>7.18077922934583</v>
      </c>
    </row>
    <row r="7" customFormat="false" ht="14.25" hidden="false" customHeight="false" outlineLevel="0" collapsed="false">
      <c r="A7" s="0" t="s">
        <v>53</v>
      </c>
      <c r="B7" s="0" t="n">
        <v>6.21840789162116</v>
      </c>
      <c r="C7" s="0" t="n">
        <v>5.07153393909728</v>
      </c>
      <c r="D7" s="0" t="n">
        <v>2.80492733351477</v>
      </c>
    </row>
    <row r="8" customFormat="false" ht="14.25" hidden="false" customHeight="false" outlineLevel="0" collapsed="false">
      <c r="A8" s="0" t="s">
        <v>55</v>
      </c>
      <c r="B8" s="0" t="n">
        <v>3.69349719981007</v>
      </c>
      <c r="C8" s="0" t="n">
        <v>-0.979423981788173</v>
      </c>
      <c r="D8" s="0" t="n">
        <v>1.51365381781589</v>
      </c>
    </row>
    <row r="9" customFormat="false" ht="14.25" hidden="false" customHeight="false" outlineLevel="0" collapsed="false">
      <c r="A9" s="0" t="s">
        <v>57</v>
      </c>
      <c r="B9" s="0" t="n">
        <v>8.09777521025382</v>
      </c>
      <c r="C9" s="0" t="n">
        <v>2.73770090909512</v>
      </c>
      <c r="D9" s="0" t="n">
        <v>1.28308798261165</v>
      </c>
    </row>
    <row r="10" customFormat="false" ht="14.25" hidden="false" customHeight="false" outlineLevel="0" collapsed="false">
      <c r="A10" s="0" t="s">
        <v>59</v>
      </c>
      <c r="B10" s="0" t="n">
        <v>2.72648812875136</v>
      </c>
      <c r="C10" s="0" t="n">
        <v>0.52546800356312</v>
      </c>
      <c r="D10" s="0" t="n">
        <v>4.01188442104076</v>
      </c>
    </row>
    <row r="11" customFormat="false" ht="14.25" hidden="false" customHeight="false" outlineLevel="0" collapsed="false">
      <c r="A11" s="0" t="s">
        <v>63</v>
      </c>
      <c r="B11" s="0" t="n">
        <v>21.943977764841</v>
      </c>
      <c r="C11" s="0" t="n">
        <v>5.97103263936852</v>
      </c>
      <c r="D11" s="0" t="n">
        <v>4.16706478494977</v>
      </c>
    </row>
    <row r="12" customFormat="false" ht="14.25" hidden="false" customHeight="false" outlineLevel="0" collapsed="false">
      <c r="A12" s="0" t="s">
        <v>65</v>
      </c>
      <c r="B12" s="0" t="n">
        <v>0.250798246636478</v>
      </c>
      <c r="C12" s="0" t="n">
        <v>3.87310472906779</v>
      </c>
      <c r="D12" s="0" t="n">
        <v>1.18914750403756</v>
      </c>
    </row>
    <row r="13" customFormat="false" ht="14.25" hidden="false" customHeight="false" outlineLevel="0" collapsed="false">
      <c r="A13" s="0" t="s">
        <v>69</v>
      </c>
      <c r="B13" s="0" t="n">
        <v>-1.6526555697274</v>
      </c>
      <c r="C13" s="0" t="n">
        <v>7.32948372060088</v>
      </c>
      <c r="D13" s="0" t="n">
        <v>1.84360977632781</v>
      </c>
    </row>
    <row r="14" customFormat="false" ht="14.25" hidden="false" customHeight="false" outlineLevel="0" collapsed="false">
      <c r="A14" s="0" t="s">
        <v>71</v>
      </c>
      <c r="B14" s="0" t="n">
        <v>5.43704426383019</v>
      </c>
      <c r="C14" s="0" t="n">
        <v>3.5504169430574</v>
      </c>
      <c r="D14" s="0" t="n">
        <v>0.762739103124901</v>
      </c>
    </row>
    <row r="15" customFormat="false" ht="14.25" hidden="false" customHeight="false" outlineLevel="0" collapsed="false">
      <c r="A15" s="0" t="s">
        <v>75</v>
      </c>
      <c r="B15" s="0" t="n">
        <v>0.703316970907181</v>
      </c>
      <c r="C15" s="0" t="n">
        <v>-0.140374034666252</v>
      </c>
      <c r="D15" s="0" t="n">
        <v>4.89998030363617</v>
      </c>
    </row>
    <row r="16" customFormat="false" ht="14.25" hidden="false" customHeight="false" outlineLevel="0" collapsed="false">
      <c r="A16" s="0" t="s">
        <v>77</v>
      </c>
      <c r="B16" s="0" t="n">
        <v>4.24711851074824</v>
      </c>
      <c r="C16" s="0" t="n">
        <v>1.85930189404115</v>
      </c>
      <c r="D16" s="0" t="n">
        <v>6.08443669343784</v>
      </c>
    </row>
    <row r="17" customFormat="false" ht="14.25" hidden="false" customHeight="false" outlineLevel="0" collapsed="false">
      <c r="A17" s="0" t="s">
        <v>79</v>
      </c>
      <c r="B17" s="0" t="n">
        <v>-1.18960200323009</v>
      </c>
      <c r="C17" s="0" t="n">
        <v>2.24564080345806</v>
      </c>
      <c r="D17" s="0" t="n">
        <v>2.73350438235384</v>
      </c>
    </row>
    <row r="18" customFormat="false" ht="14.25" hidden="false" customHeight="false" outlineLevel="0" collapsed="false">
      <c r="A18" s="0" t="s">
        <v>81</v>
      </c>
      <c r="B18" s="0" t="n">
        <v>0.237354678483086</v>
      </c>
      <c r="C18" s="0" t="n">
        <v>0.509589457331245</v>
      </c>
      <c r="D18" s="0" t="n">
        <v>-1.24755230654004</v>
      </c>
    </row>
    <row r="19" customFormat="false" ht="14.25" hidden="false" customHeight="false" outlineLevel="0" collapsed="false">
      <c r="A19" s="0" t="s">
        <v>85</v>
      </c>
      <c r="B19" s="0" t="n">
        <v>7.04172088950728</v>
      </c>
      <c r="C19" s="0" t="n">
        <v>5.15424061473533</v>
      </c>
      <c r="D19" s="0" t="n">
        <v>6.68922980004716</v>
      </c>
    </row>
    <row r="20" customFormat="false" ht="14.25" hidden="false" customHeight="false" outlineLevel="0" collapsed="false">
      <c r="A20" s="0" t="s">
        <v>87</v>
      </c>
      <c r="B20" s="0" t="n">
        <v>-1.12544734316738</v>
      </c>
      <c r="C20" s="0" t="n">
        <v>1.2781872613147</v>
      </c>
      <c r="D20" s="0" t="n">
        <v>1.04228901355074</v>
      </c>
    </row>
    <row r="21" customFormat="false" ht="14.25" hidden="false" customHeight="false" outlineLevel="0" collapsed="false">
      <c r="A21" s="0" t="s">
        <v>89</v>
      </c>
      <c r="B21" s="0" t="n">
        <v>4.73640996819675</v>
      </c>
      <c r="C21" s="0" t="n">
        <v>2.2154307876892</v>
      </c>
      <c r="D21" s="0" t="n">
        <v>0.85013714171447</v>
      </c>
    </row>
    <row r="22" customFormat="false" ht="14.25" hidden="false" customHeight="false" outlineLevel="0" collapsed="false">
      <c r="A22" s="0" t="s">
        <v>95</v>
      </c>
      <c r="B22" s="0" t="n">
        <v>-5.76487966375247</v>
      </c>
      <c r="C22" s="0" t="n">
        <v>-2.45757968304592</v>
      </c>
      <c r="D22" s="0" t="n">
        <v>0.144321275931205</v>
      </c>
    </row>
    <row r="23" customFormat="false" ht="14.25" hidden="false" customHeight="false" outlineLevel="0" collapsed="false">
      <c r="A23" s="0" t="s">
        <v>99</v>
      </c>
      <c r="B23" s="0" t="n">
        <v>3.48136978989653</v>
      </c>
      <c r="C23" s="0" t="n">
        <v>6.24158799712546</v>
      </c>
      <c r="D23" s="0" t="n">
        <v>0.730029166028217</v>
      </c>
    </row>
    <row r="24" customFormat="false" ht="14.25" hidden="false" customHeight="false" outlineLevel="0" collapsed="false">
      <c r="A24" s="0" t="s">
        <v>101</v>
      </c>
      <c r="B24" s="0" t="n">
        <v>7.72349749428456</v>
      </c>
      <c r="C24" s="0" t="n">
        <v>8.47752084986465</v>
      </c>
      <c r="D24" s="0" t="n">
        <v>5.89416225413156</v>
      </c>
    </row>
    <row r="25" customFormat="false" ht="14.25" hidden="false" customHeight="false" outlineLevel="0" collapsed="false">
      <c r="A25" s="0" t="s">
        <v>103</v>
      </c>
      <c r="B25" s="0" t="n">
        <v>0.733921136310073</v>
      </c>
      <c r="C25" s="0" t="n">
        <v>5.13951097776825</v>
      </c>
      <c r="D25" s="0" t="n">
        <v>2.28585691635954</v>
      </c>
    </row>
    <row r="26" customFormat="false" ht="14.25" hidden="false" customHeight="false" outlineLevel="0" collapsed="false">
      <c r="A26" s="0" t="s">
        <v>107</v>
      </c>
      <c r="B26" s="0" t="n">
        <v>-2.43281463702765</v>
      </c>
      <c r="C26" s="0" t="n">
        <v>2.1246511891418</v>
      </c>
      <c r="D26" s="0" t="n">
        <v>0.996466436906118</v>
      </c>
    </row>
    <row r="27" customFormat="false" ht="14.25" hidden="false" customHeight="false" outlineLevel="0" collapsed="false">
      <c r="A27" s="0" t="s">
        <v>109</v>
      </c>
      <c r="B27" s="0" t="n">
        <v>-6.33421989085376</v>
      </c>
      <c r="C27" s="0" t="n">
        <v>-3.45955773297739</v>
      </c>
      <c r="D27" s="0" t="n">
        <v>-8.68841193160922</v>
      </c>
    </row>
    <row r="28" customFormat="false" ht="14.25" hidden="false" customHeight="false" outlineLevel="0" collapsed="false">
      <c r="A28" s="0" t="s">
        <v>111</v>
      </c>
      <c r="B28" s="0" t="n">
        <v>0.9612331804165</v>
      </c>
      <c r="C28" s="0" t="n">
        <v>3.02201275222656</v>
      </c>
      <c r="D28" s="0" t="n">
        <v>0.632608501394728</v>
      </c>
    </row>
    <row r="29" customFormat="false" ht="14.25" hidden="false" customHeight="false" outlineLevel="0" collapsed="false">
      <c r="A29" s="0" t="s">
        <v>115</v>
      </c>
      <c r="B29" s="0" t="n">
        <v>4.15210232860557</v>
      </c>
      <c r="C29" s="0" t="n">
        <v>0.284633656991289</v>
      </c>
      <c r="D29" s="0" t="n">
        <v>3.36463462549534</v>
      </c>
    </row>
    <row r="30" customFormat="false" ht="14.25" hidden="false" customHeight="false" outlineLevel="0" collapsed="false">
      <c r="A30" s="0" t="s">
        <v>121</v>
      </c>
      <c r="B30" s="0" t="n">
        <v>1.69111482693604</v>
      </c>
      <c r="C30" s="0" t="n">
        <v>1.89210531961972</v>
      </c>
      <c r="D30" s="0" t="n">
        <v>1.51197214875749</v>
      </c>
    </row>
    <row r="31" customFormat="false" ht="14.25" hidden="false" customHeight="false" outlineLevel="0" collapsed="false">
      <c r="A31" s="0" t="s">
        <v>125</v>
      </c>
      <c r="B31" s="0" t="n">
        <v>2.16994201929796</v>
      </c>
      <c r="C31" s="0" t="n">
        <v>1.36775570458316</v>
      </c>
      <c r="D31" s="0" t="n">
        <v>2.6643380609015</v>
      </c>
    </row>
    <row r="32" customFormat="false" ht="14.25" hidden="false" customHeight="false" outlineLevel="0" collapsed="false">
      <c r="A32" s="0" t="s">
        <v>131</v>
      </c>
      <c r="B32" s="0" t="n">
        <v>3.29502459504593</v>
      </c>
      <c r="C32" s="0" t="n">
        <v>1.64023940515337</v>
      </c>
      <c r="D32" s="0" t="n">
        <v>3.62215124185713</v>
      </c>
    </row>
    <row r="33" customFormat="false" ht="14.25" hidden="false" customHeight="false" outlineLevel="0" collapsed="false">
      <c r="A33" s="0" t="s">
        <v>133</v>
      </c>
      <c r="B33" s="0" t="n">
        <v>-1.03903411656674</v>
      </c>
      <c r="C33" s="0" t="n">
        <v>6.09307842482203</v>
      </c>
      <c r="D33" s="0" t="n">
        <v>-1.83473055028034</v>
      </c>
    </row>
    <row r="34" customFormat="false" ht="14.25" hidden="false" customHeight="false" outlineLevel="0" collapsed="false">
      <c r="A34" s="0" t="s">
        <v>135</v>
      </c>
      <c r="B34" s="0" t="n">
        <v>4.2390401092604</v>
      </c>
      <c r="C34" s="0" t="n">
        <v>-1.03154547644205</v>
      </c>
      <c r="D34" s="0" t="n">
        <v>2.31828661772397</v>
      </c>
    </row>
    <row r="35" customFormat="false" ht="14.25" hidden="false" customHeight="false" outlineLevel="0" collapsed="false">
      <c r="A35" s="0" t="s">
        <v>137</v>
      </c>
      <c r="B35" s="0" t="n">
        <v>0.833609381823948</v>
      </c>
      <c r="C35" s="0" t="n">
        <v>3.26667329696637</v>
      </c>
      <c r="D35" s="0" t="n">
        <v>2.75986594939566</v>
      </c>
    </row>
    <row r="36" customFormat="false" ht="14.25" hidden="false" customHeight="false" outlineLevel="0" collapsed="false">
      <c r="A36" s="0" t="s">
        <v>145</v>
      </c>
      <c r="B36" s="0" t="n">
        <v>-2.59145948840811</v>
      </c>
      <c r="C36" s="0" t="n">
        <v>0.576527736989291</v>
      </c>
      <c r="D36" s="0" t="n">
        <v>-2.55523463455894</v>
      </c>
    </row>
    <row r="37" customFormat="false" ht="14.25" hidden="false" customHeight="false" outlineLevel="0" collapsed="false">
      <c r="A37" s="0" t="s">
        <v>153</v>
      </c>
      <c r="B37" s="0" t="n">
        <v>5.997282999185</v>
      </c>
      <c r="C37" s="0" t="n">
        <v>1.16132291881024</v>
      </c>
      <c r="D37" s="0" t="n">
        <v>1.23328075195124</v>
      </c>
    </row>
    <row r="38" customFormat="false" ht="14.25" hidden="false" customHeight="false" outlineLevel="0" collapsed="false">
      <c r="A38" s="0" t="s">
        <v>155</v>
      </c>
      <c r="B38" s="0" t="n">
        <v>2.78388264069925</v>
      </c>
      <c r="C38" s="0" t="n">
        <v>2.01884666304126</v>
      </c>
      <c r="D38" s="0" t="n">
        <v>1.15490959130173</v>
      </c>
    </row>
    <row r="39" customFormat="false" ht="14.25" hidden="false" customHeight="false" outlineLevel="0" collapsed="false">
      <c r="A39" s="0" t="s">
        <v>159</v>
      </c>
      <c r="B39" s="0" t="n">
        <v>-11.2326553629134</v>
      </c>
      <c r="C39" s="0" t="n">
        <v>-1.04684280668612</v>
      </c>
      <c r="D39" s="0" t="n">
        <v>-0.742497889249904</v>
      </c>
    </row>
    <row r="40" customFormat="false" ht="14.25" hidden="false" customHeight="false" outlineLevel="0" collapsed="false">
      <c r="A40" s="0" t="s">
        <v>165</v>
      </c>
      <c r="B40" s="0" t="n">
        <v>2.91512893832564</v>
      </c>
      <c r="C40" s="0" t="n">
        <v>6.41669711732371</v>
      </c>
      <c r="D40" s="0" t="n">
        <v>0.344556681712277</v>
      </c>
    </row>
    <row r="41" customFormat="false" ht="14.25" hidden="false" customHeight="false" outlineLevel="0" collapsed="false">
      <c r="A41" s="0" t="s">
        <v>179</v>
      </c>
      <c r="B41" s="0" t="n">
        <v>1.16541103687294</v>
      </c>
      <c r="C41" s="0" t="n">
        <v>2.0069435811311</v>
      </c>
      <c r="D41" s="0" t="n">
        <v>2.47409030888299</v>
      </c>
    </row>
    <row r="42" customFormat="false" ht="14.25" hidden="false" customHeight="false" outlineLevel="0" collapsed="false">
      <c r="A42" s="0" t="s">
        <v>187</v>
      </c>
      <c r="B42" s="0" t="n">
        <v>-0.723243056282357</v>
      </c>
      <c r="C42" s="0" t="n">
        <v>4.66721886815797</v>
      </c>
      <c r="D42" s="0" t="n">
        <v>-2.86778955096021</v>
      </c>
    </row>
    <row r="43" customFormat="false" ht="14.25" hidden="false" customHeight="false" outlineLevel="0" collapsed="false">
      <c r="A43" s="0" t="s">
        <v>189</v>
      </c>
      <c r="B43" s="0" t="n">
        <v>3.80573456787533</v>
      </c>
      <c r="C43" s="0" t="n">
        <v>1.0707435931503</v>
      </c>
      <c r="D43" s="0" t="n">
        <v>1.28761341565958</v>
      </c>
    </row>
    <row r="44" customFormat="false" ht="14.25" hidden="false" customHeight="false" outlineLevel="0" collapsed="false">
      <c r="A44" s="0" t="s">
        <v>197</v>
      </c>
      <c r="B44" s="0" t="n">
        <v>1.74403014308389</v>
      </c>
      <c r="C44" s="0" t="n">
        <v>4.09739151623276</v>
      </c>
      <c r="D44" s="0" t="n">
        <v>3.114625719781</v>
      </c>
    </row>
    <row r="45" customFormat="false" ht="14.25" hidden="false" customHeight="false" outlineLevel="0" collapsed="false">
      <c r="A45" s="0" t="s">
        <v>201</v>
      </c>
      <c r="B45" s="0" t="n">
        <v>4.43638103883697</v>
      </c>
      <c r="C45" s="0" t="n">
        <v>1.43741651636866</v>
      </c>
      <c r="D45" s="0" t="n">
        <v>-8.38794608423579</v>
      </c>
    </row>
    <row r="46" customFormat="false" ht="14.25" hidden="false" customHeight="false" outlineLevel="0" collapsed="false">
      <c r="A46" s="0" t="s">
        <v>205</v>
      </c>
      <c r="B46" s="0" t="n">
        <v>7.80653102976542</v>
      </c>
      <c r="C46" s="0" t="n">
        <v>-3.01734122094591</v>
      </c>
      <c r="D46" s="0" t="n">
        <v>1.69381687941686</v>
      </c>
    </row>
    <row r="47" customFormat="false" ht="14.25" hidden="false" customHeight="false" outlineLevel="0" collapsed="false">
      <c r="A47" s="0" t="s">
        <v>209</v>
      </c>
      <c r="B47" s="0" t="n">
        <v>2.65155150845263</v>
      </c>
      <c r="C47" s="0" t="n">
        <v>3.23594684468725</v>
      </c>
      <c r="D47" s="0" t="n">
        <v>1.08076648156981</v>
      </c>
    </row>
    <row r="48" customFormat="false" ht="14.25" hidden="false" customHeight="false" outlineLevel="0" collapsed="false">
      <c r="A48" s="0" t="s">
        <v>211</v>
      </c>
      <c r="B48" s="0" t="n">
        <v>3.54790529904653</v>
      </c>
      <c r="C48" s="0" t="n">
        <v>0.495069155400458</v>
      </c>
      <c r="D48" s="0" t="n">
        <v>1.23447991003547</v>
      </c>
    </row>
    <row r="49" customFormat="false" ht="14.25" hidden="false" customHeight="false" outlineLevel="0" collapsed="false">
      <c r="A49" s="0" t="s">
        <v>217</v>
      </c>
      <c r="B49" s="0" t="n">
        <v>5.15386827445315</v>
      </c>
      <c r="C49" s="0" t="n">
        <v>-2.7464855588252</v>
      </c>
      <c r="D49" s="0" t="n">
        <v>1.05661077174383</v>
      </c>
    </row>
    <row r="50" customFormat="false" ht="14.25" hidden="false" customHeight="false" outlineLevel="0" collapsed="false">
      <c r="A50" s="0" t="s">
        <v>219</v>
      </c>
      <c r="B50" s="0" t="n">
        <v>6.88570594663254</v>
      </c>
      <c r="C50" s="0" t="n">
        <v>1.60112200050693</v>
      </c>
      <c r="D50" s="0" t="n">
        <v>2.96608679570831</v>
      </c>
    </row>
    <row r="51" customFormat="false" ht="14.25" hidden="false" customHeight="false" outlineLevel="0" collapsed="false">
      <c r="A51" s="0" t="s">
        <v>221</v>
      </c>
      <c r="B51" s="0" t="n">
        <v>-1.81443740878302</v>
      </c>
      <c r="C51" s="0" t="n">
        <v>3.68350219653706</v>
      </c>
      <c r="D51" s="0" t="n">
        <v>2.62970181331359</v>
      </c>
    </row>
    <row r="52" customFormat="false" ht="14.25" hidden="false" customHeight="false" outlineLevel="0" collapsed="false">
      <c r="A52" s="0" t="s">
        <v>227</v>
      </c>
      <c r="B52" s="0" t="n">
        <v>8.69012561301503</v>
      </c>
      <c r="C52" s="0" t="n">
        <v>3.35255025675532</v>
      </c>
      <c r="D52" s="0" t="n">
        <v>2.28865013342603</v>
      </c>
    </row>
    <row r="53" customFormat="false" ht="14.25" hidden="false" customHeight="false" outlineLevel="0" collapsed="false">
      <c r="A53" s="0" t="s">
        <v>233</v>
      </c>
      <c r="B53" s="0" t="n">
        <v>3.80879780000005</v>
      </c>
      <c r="C53" s="0" t="n">
        <v>-0.580747571555321</v>
      </c>
      <c r="D53" s="0" t="n">
        <v>-4.58287214511451</v>
      </c>
    </row>
    <row r="54" customFormat="false" ht="14.25" hidden="false" customHeight="false" outlineLevel="0" collapsed="false">
      <c r="A54" s="0" t="s">
        <v>237</v>
      </c>
      <c r="B54" s="0" t="n">
        <v>7.5796598210555</v>
      </c>
      <c r="C54" s="0" t="n">
        <v>7.23274603644721</v>
      </c>
      <c r="D54" s="0" t="n">
        <v>2.97345227263803</v>
      </c>
    </row>
    <row r="55" customFormat="false" ht="14.25" hidden="false" customHeight="false" outlineLevel="0" collapsed="false">
      <c r="A55" s="0" t="s">
        <v>239</v>
      </c>
      <c r="B55" s="0" t="n">
        <v>-0.503789531741887</v>
      </c>
      <c r="C55" s="0" t="n">
        <v>-3.22325684501114</v>
      </c>
      <c r="D55" s="0" t="n">
        <v>-7.28069967504641</v>
      </c>
    </row>
    <row r="56" customFormat="false" ht="14.25" hidden="false" customHeight="false" outlineLevel="0" collapsed="false">
      <c r="A56" s="0" t="s">
        <v>255</v>
      </c>
      <c r="B56" s="0" t="n">
        <v>1.58891850433443</v>
      </c>
      <c r="C56" s="0" t="n">
        <v>-1.0654722241574</v>
      </c>
      <c r="D56" s="0" t="n">
        <v>1.31683665741176</v>
      </c>
    </row>
    <row r="57" customFormat="false" ht="14.25" hidden="false" customHeight="false" outlineLevel="0" collapsed="false">
      <c r="A57" s="0" t="s">
        <v>259</v>
      </c>
      <c r="B57" s="0" t="n">
        <v>5.1663377997629</v>
      </c>
      <c r="C57" s="0" t="n">
        <v>4.50704368060721</v>
      </c>
      <c r="D57" s="0" t="n">
        <v>3.3914114589636</v>
      </c>
    </row>
    <row r="58" customFormat="false" ht="14.25" hidden="false" customHeight="false" outlineLevel="0" collapsed="false">
      <c r="A58" s="0" t="s">
        <v>263</v>
      </c>
      <c r="B58" s="0" t="n">
        <v>-2.5414277029128</v>
      </c>
      <c r="C58" s="0" t="n">
        <v>0.376372713811051</v>
      </c>
      <c r="D58" s="0" t="n">
        <v>1.05006725701034</v>
      </c>
    </row>
    <row r="59" customFormat="false" ht="14.25" hidden="false" customHeight="false" outlineLevel="0" collapsed="false">
      <c r="A59" s="0" t="s">
        <v>269</v>
      </c>
      <c r="B59" s="0" t="n">
        <v>-7.00894486291318</v>
      </c>
      <c r="C59" s="0" t="n">
        <v>-0.329099472907885</v>
      </c>
      <c r="D59" s="0" t="n">
        <v>2.32063758852645</v>
      </c>
    </row>
    <row r="60" customFormat="false" ht="14.25" hidden="false" customHeight="false" outlineLevel="0" collapsed="false">
      <c r="A60" s="0" t="s">
        <v>273</v>
      </c>
      <c r="B60" s="0" t="n">
        <v>3.46680753030472</v>
      </c>
      <c r="C60" s="0" t="n">
        <v>1.79992396655189</v>
      </c>
      <c r="D60" s="0" t="n">
        <v>-1.3482844827606</v>
      </c>
    </row>
    <row r="61" customFormat="false" ht="14.25" hidden="false" customHeight="false" outlineLevel="0" collapsed="false">
      <c r="A61" s="0" t="s">
        <v>277</v>
      </c>
      <c r="B61" s="0" t="n">
        <v>4.32515382596715</v>
      </c>
      <c r="C61" s="0" t="n">
        <v>5.59073863738664</v>
      </c>
      <c r="D61" s="0" t="n">
        <v>5.84468122072816</v>
      </c>
    </row>
    <row r="62" customFormat="false" ht="14.25" hidden="false" customHeight="false" outlineLevel="0" collapsed="false">
      <c r="A62" s="0" t="s">
        <v>285</v>
      </c>
      <c r="B62" s="0" t="n">
        <v>0.55429789940132</v>
      </c>
      <c r="C62" s="0" t="n">
        <v>3.53475822922169</v>
      </c>
      <c r="D62" s="0" t="n">
        <v>1.20113100466813</v>
      </c>
    </row>
    <row r="63" customFormat="false" ht="14.25" hidden="false" customHeight="false" outlineLevel="0" collapsed="false">
      <c r="A63" s="0" t="s">
        <v>287</v>
      </c>
      <c r="B63" s="0" t="n">
        <v>-2.78832039963466</v>
      </c>
      <c r="C63" s="0" t="n">
        <v>6.12760750021984</v>
      </c>
      <c r="D63" s="0" t="n">
        <v>-0.665806936979436</v>
      </c>
    </row>
    <row r="64" customFormat="false" ht="14.25" hidden="false" customHeight="false" outlineLevel="0" collapsed="false">
      <c r="A64" s="0" t="s">
        <v>291</v>
      </c>
      <c r="B64" s="0" t="n">
        <v>4.7587112604464</v>
      </c>
      <c r="C64" s="0" t="n">
        <v>4.39057764646068</v>
      </c>
      <c r="D64" s="0" t="n">
        <v>-1.86469666690755</v>
      </c>
    </row>
    <row r="65" customFormat="false" ht="14.25" hidden="false" customHeight="false" outlineLevel="0" collapsed="false">
      <c r="A65" s="0" t="s">
        <v>297</v>
      </c>
      <c r="B65" s="0" t="n">
        <v>3.89125523127724</v>
      </c>
      <c r="C65" s="0" t="n">
        <v>2.18434471310762</v>
      </c>
      <c r="D65" s="0" t="n">
        <v>0.267639472569599</v>
      </c>
    </row>
    <row r="66" customFormat="false" ht="14.25" hidden="false" customHeight="false" outlineLevel="0" collapsed="false">
      <c r="A66" s="0" t="s">
        <v>301</v>
      </c>
      <c r="B66" s="0" t="n">
        <v>2.57830683449905</v>
      </c>
      <c r="C66" s="0" t="n">
        <v>1.89735967985838</v>
      </c>
      <c r="D66" s="0" t="n">
        <v>1.14062521484659</v>
      </c>
    </row>
    <row r="67" customFormat="false" ht="14.25" hidden="false" customHeight="false" outlineLevel="0" collapsed="false">
      <c r="A67" s="0" t="s">
        <v>303</v>
      </c>
      <c r="B67" s="0" t="n">
        <v>2.70164438670994</v>
      </c>
      <c r="C67" s="0" t="n">
        <v>4.94749846765272</v>
      </c>
      <c r="D67" s="0" t="n">
        <v>-3.48417630796504</v>
      </c>
    </row>
    <row r="68" customFormat="false" ht="14.25" hidden="false" customHeight="false" outlineLevel="0" collapsed="false">
      <c r="A68" s="0" t="s">
        <v>305</v>
      </c>
      <c r="B68" s="0" t="n">
        <v>-4.50293179970952</v>
      </c>
      <c r="C68" s="0" t="n">
        <v>-0.750067525000603</v>
      </c>
      <c r="D68" s="0" t="n">
        <v>2.00408488984051</v>
      </c>
    </row>
    <row r="69" customFormat="false" ht="14.25" hidden="false" customHeight="false" outlineLevel="0" collapsed="false">
      <c r="A69" s="0" t="s">
        <v>307</v>
      </c>
      <c r="B69" s="0" t="n">
        <v>-5.7166825585816</v>
      </c>
      <c r="C69" s="0" t="n">
        <v>2.65816016694195</v>
      </c>
      <c r="D69" s="0" t="n">
        <v>0.863156668486994</v>
      </c>
    </row>
    <row r="70" customFormat="false" ht="14.25" hidden="false" customHeight="false" outlineLevel="0" collapsed="false">
      <c r="A70" s="0" t="s">
        <v>309</v>
      </c>
      <c r="B70" s="0" t="n">
        <v>3.83779215943099</v>
      </c>
      <c r="C70" s="0" t="n">
        <v>1.89875767320913</v>
      </c>
      <c r="D70" s="0" t="n">
        <v>2.57561151010661</v>
      </c>
    </row>
    <row r="71" customFormat="false" ht="14.25" hidden="false" customHeight="false" outlineLevel="0" collapsed="false">
      <c r="A71" s="0" t="s">
        <v>313</v>
      </c>
      <c r="B71" s="0" t="n">
        <v>1.95322064895717</v>
      </c>
      <c r="C71" s="0" t="n">
        <v>-0.412312837270065</v>
      </c>
      <c r="D71" s="0" t="n">
        <v>-0.744354163785886</v>
      </c>
    </row>
    <row r="72" customFormat="false" ht="14.25" hidden="false" customHeight="false" outlineLevel="0" collapsed="false">
      <c r="A72" s="0" t="s">
        <v>315</v>
      </c>
      <c r="B72" s="0" t="n">
        <v>5.66424306878449</v>
      </c>
      <c r="C72" s="0" t="n">
        <v>-4.64174842851092</v>
      </c>
      <c r="D72" s="0" t="n">
        <v>-4.92354320309238</v>
      </c>
    </row>
    <row r="73" customFormat="false" ht="14.25" hidden="false" customHeight="false" outlineLevel="0" collapsed="false">
      <c r="A73" s="0" t="s">
        <v>317</v>
      </c>
      <c r="B73" s="0" t="n">
        <v>2.04567090045857</v>
      </c>
      <c r="C73" s="0" t="n">
        <v>0.989386678835729</v>
      </c>
      <c r="D73" s="0" t="n">
        <v>-1.32434536866843</v>
      </c>
    </row>
    <row r="74" customFormat="false" ht="14.25" hidden="false" customHeight="false" outlineLevel="0" collapsed="false">
      <c r="A74" s="0" t="s">
        <v>321</v>
      </c>
      <c r="B74" s="0" t="n">
        <v>2.36038646167873</v>
      </c>
      <c r="C74" s="0" t="n">
        <v>12.2780204863923</v>
      </c>
      <c r="D74" s="0" t="n">
        <v>1.8122979969968</v>
      </c>
    </row>
    <row r="75" customFormat="false" ht="14.25" hidden="false" customHeight="false" outlineLevel="0" collapsed="false">
      <c r="A75" s="0" t="s">
        <v>327</v>
      </c>
      <c r="B75" s="0" t="n">
        <v>0.746683968245023</v>
      </c>
      <c r="C75" s="0" t="n">
        <v>5.14765935160982</v>
      </c>
      <c r="D75" s="0" t="n">
        <v>1.32613918206388</v>
      </c>
    </row>
    <row r="76" customFormat="false" ht="14.25" hidden="false" customHeight="false" outlineLevel="0" collapsed="false">
      <c r="A76" s="0" t="s">
        <v>329</v>
      </c>
      <c r="B76" s="0" t="n">
        <v>-1.37282387911776</v>
      </c>
      <c r="C76" s="0" t="n">
        <v>1.46573510630863</v>
      </c>
      <c r="D76" s="0" t="n">
        <v>3.9958750363167</v>
      </c>
    </row>
    <row r="77" customFormat="false" ht="14.25" hidden="false" customHeight="false" outlineLevel="0" collapsed="false">
      <c r="A77" s="0" t="s">
        <v>331</v>
      </c>
      <c r="B77" s="0" t="n">
        <v>5.84674632424193</v>
      </c>
      <c r="C77" s="0" t="n">
        <v>4.68866153770742</v>
      </c>
      <c r="D77" s="0" t="n">
        <v>4.71588058069284</v>
      </c>
    </row>
    <row r="78" customFormat="false" ht="14.25" hidden="false" customHeight="false" outlineLevel="0" collapsed="false">
      <c r="A78" s="0" t="s">
        <v>333</v>
      </c>
      <c r="B78" s="0" t="n">
        <v>1.80367753738821</v>
      </c>
      <c r="C78" s="0" t="n">
        <v>0.0205099903554924</v>
      </c>
      <c r="D78" s="0" t="n">
        <v>2.3804193882748</v>
      </c>
    </row>
    <row r="79" customFormat="false" ht="14.25" hidden="false" customHeight="false" outlineLevel="0" collapsed="false">
      <c r="A79" s="0" t="s">
        <v>335</v>
      </c>
      <c r="B79" s="0" t="n">
        <v>4.59657866194098</v>
      </c>
      <c r="C79" s="0" t="n">
        <v>-0.221005694056899</v>
      </c>
      <c r="D79" s="0" t="n">
        <v>0.707825222518906</v>
      </c>
    </row>
    <row r="80" customFormat="false" ht="14.25" hidden="false" customHeight="false" outlineLevel="0" collapsed="false">
      <c r="A80" s="0" t="s">
        <v>339</v>
      </c>
      <c r="B80" s="0" t="n">
        <v>3.15125793640169</v>
      </c>
      <c r="C80" s="0" t="n">
        <v>2.30009596181246</v>
      </c>
      <c r="D80" s="0" t="n">
        <v>5.17179242481403</v>
      </c>
    </row>
    <row r="81" customFormat="false" ht="14.25" hidden="false" customHeight="false" outlineLevel="0" collapsed="false">
      <c r="A81" s="0" t="s">
        <v>341</v>
      </c>
      <c r="B81" s="0" t="n">
        <v>11.6142152557545</v>
      </c>
      <c r="C81" s="0" t="n">
        <v>4.19132528746357</v>
      </c>
      <c r="D81" s="0" t="n">
        <v>1.30956512094646</v>
      </c>
    </row>
    <row r="82" customFormat="false" ht="14.25" hidden="false" customHeight="false" outlineLevel="0" collapsed="false">
      <c r="A82" s="0" t="s">
        <v>343</v>
      </c>
      <c r="B82" s="0" t="n">
        <v>2.22991424320433</v>
      </c>
      <c r="C82" s="0" t="n">
        <v>5.2863457525761</v>
      </c>
      <c r="D82" s="0" t="n">
        <v>6.91725177305247</v>
      </c>
    </row>
    <row r="83" customFormat="false" ht="14.25" hidden="false" customHeight="false" outlineLevel="0" collapsed="false">
      <c r="A83" s="0" t="s">
        <v>353</v>
      </c>
      <c r="B83" s="0" t="n">
        <v>1.40837885462348</v>
      </c>
      <c r="C83" s="0" t="n">
        <v>-2.04291628336624</v>
      </c>
      <c r="D83" s="0" t="n">
        <v>1.32733898172826</v>
      </c>
    </row>
    <row r="84" customFormat="false" ht="14.25" hidden="false" customHeight="false" outlineLevel="0" collapsed="false">
      <c r="A84" s="0" t="s">
        <v>355</v>
      </c>
      <c r="B84" s="0" t="n">
        <v>6.38627271054422</v>
      </c>
      <c r="C84" s="0" t="n">
        <v>0.976434826587763</v>
      </c>
      <c r="D84" s="0" t="n">
        <v>4.43157211584749</v>
      </c>
    </row>
    <row r="85" customFormat="false" ht="14.25" hidden="false" customHeight="false" outlineLevel="0" collapsed="false">
      <c r="A85" s="0" t="s">
        <v>369</v>
      </c>
      <c r="B85" s="0" t="n">
        <v>-14.2023914309596</v>
      </c>
      <c r="C85" s="0" t="n">
        <v>2.23556330159708</v>
      </c>
      <c r="D85" s="0" t="n">
        <v>-1.16462769272616</v>
      </c>
    </row>
    <row r="86" customFormat="false" ht="14.25" hidden="false" customHeight="false" outlineLevel="0" collapsed="false">
      <c r="A86" s="0" t="s">
        <v>373</v>
      </c>
      <c r="B86" s="0" t="n">
        <v>2.74462583908645</v>
      </c>
      <c r="C86" s="0" t="n">
        <v>1.23925701839372</v>
      </c>
      <c r="D86" s="0" t="n">
        <v>-0.816738279464474</v>
      </c>
    </row>
    <row r="87" customFormat="false" ht="14.25" hidden="false" customHeight="false" outlineLevel="0" collapsed="false">
      <c r="A87" s="0" t="s">
        <v>377</v>
      </c>
      <c r="B87" s="0" t="n">
        <v>4.98722125098654</v>
      </c>
      <c r="C87" s="0" t="n">
        <v>-1.46124010251194</v>
      </c>
      <c r="D87" s="0" t="n">
        <v>1.19037176101402</v>
      </c>
    </row>
    <row r="88" customFormat="false" ht="14.25" hidden="false" customHeight="false" outlineLevel="0" collapsed="false">
      <c r="A88" s="0" t="s">
        <v>379</v>
      </c>
      <c r="B88" s="0" t="n">
        <v>5.27173560002048</v>
      </c>
      <c r="C88" s="0" t="n">
        <v>7.7999023792372</v>
      </c>
      <c r="D88" s="0" t="n">
        <v>1.51729554794669</v>
      </c>
    </row>
    <row r="89" customFormat="false" ht="14.25" hidden="false" customHeight="false" outlineLevel="0" collapsed="false">
      <c r="A89" s="0" t="s">
        <v>389</v>
      </c>
      <c r="B89" s="0" t="n">
        <v>2.6794197860681</v>
      </c>
      <c r="C89" s="0" t="n">
        <v>11.436314518635</v>
      </c>
      <c r="D89" s="0" t="n">
        <v>-6.31205422441276</v>
      </c>
    </row>
    <row r="90" customFormat="false" ht="14.25" hidden="false" customHeight="false" outlineLevel="0" collapsed="false">
      <c r="A90" s="0" t="s">
        <v>393</v>
      </c>
      <c r="B90" s="0" t="n">
        <v>4.83586479484617</v>
      </c>
      <c r="C90" s="0" t="n">
        <v>1.73577989505071</v>
      </c>
      <c r="D90" s="0" t="n">
        <v>1.3547461784744</v>
      </c>
    </row>
    <row r="91" customFormat="false" ht="14.25" hidden="false" customHeight="false" outlineLevel="0" collapsed="false">
      <c r="A91" s="0" t="s">
        <v>395</v>
      </c>
      <c r="B91" s="0" t="n">
        <v>4.34373599496834</v>
      </c>
      <c r="C91" s="0" t="n">
        <v>-3.59034714292812</v>
      </c>
      <c r="D91" s="0" t="n">
        <v>3.10634678128167</v>
      </c>
    </row>
    <row r="92" customFormat="false" ht="14.25" hidden="false" customHeight="false" outlineLevel="0" collapsed="false">
      <c r="A92" s="0" t="s">
        <v>401</v>
      </c>
      <c r="B92" s="0" t="n">
        <v>1.83336830501636</v>
      </c>
      <c r="C92" s="0" t="n">
        <v>4.50049396065968</v>
      </c>
      <c r="D92" s="0" t="n">
        <v>5.39598638331755</v>
      </c>
    </row>
    <row r="93" customFormat="false" ht="14.25" hidden="false" customHeight="false" outlineLevel="0" collapsed="false">
      <c r="A93" s="0" t="s">
        <v>407</v>
      </c>
      <c r="B93" s="0" t="n">
        <v>-3.29231045560459</v>
      </c>
      <c r="C93" s="0" t="n">
        <v>10.0859339778089</v>
      </c>
      <c r="D93" s="0" t="n">
        <v>2.97385293463476</v>
      </c>
    </row>
    <row r="94" customFormat="false" ht="14.25" hidden="false" customHeight="false" outlineLevel="0" collapsed="false">
      <c r="A94" s="0" t="s">
        <v>413</v>
      </c>
      <c r="B94" s="0" t="n">
        <v>3.17564731763338</v>
      </c>
      <c r="C94" s="0" t="n">
        <v>-2.85527203165074</v>
      </c>
      <c r="D94" s="0" t="n">
        <v>-0.662578134245834</v>
      </c>
    </row>
    <row r="95" customFormat="false" ht="14.25" hidden="false" customHeight="false" outlineLevel="0" collapsed="false">
      <c r="A95" s="0" t="s">
        <v>415</v>
      </c>
      <c r="B95" s="0" t="n">
        <v>5.26485344289247</v>
      </c>
      <c r="C95" s="0" t="n">
        <v>9.50366977322021</v>
      </c>
      <c r="D95" s="0" t="n">
        <v>-0.560161048156985</v>
      </c>
    </row>
    <row r="96" customFormat="false" ht="14.25" hidden="false" customHeight="false" outlineLevel="0" collapsed="false">
      <c r="A96" s="0" t="s">
        <v>423</v>
      </c>
      <c r="B96" s="0" t="n">
        <v>-1.38906889803519</v>
      </c>
      <c r="C96" s="0" t="n">
        <v>6.10105298467116</v>
      </c>
      <c r="D96" s="0" t="n">
        <v>3.30947600431098</v>
      </c>
    </row>
    <row r="97" customFormat="false" ht="14.25" hidden="false" customHeight="false" outlineLevel="0" collapsed="false">
      <c r="A97" s="0" t="s">
        <v>425</v>
      </c>
      <c r="B97" s="0" t="n">
        <v>6.7452610312029</v>
      </c>
      <c r="C97" s="0" t="n">
        <v>4.92811201538206</v>
      </c>
      <c r="D97" s="0" t="n">
        <v>4.28173916738686</v>
      </c>
    </row>
    <row r="98" customFormat="false" ht="14.25" hidden="false" customHeight="false" outlineLevel="0" collapsed="false">
      <c r="A98" s="0" t="s">
        <v>429</v>
      </c>
      <c r="B98" s="0" t="n">
        <v>3.84555953044949</v>
      </c>
      <c r="C98" s="0" t="n">
        <v>0.808253160506126</v>
      </c>
      <c r="D98" s="0" t="n">
        <v>0.411769810025646</v>
      </c>
    </row>
    <row r="99" customFormat="false" ht="14.25" hidden="false" customHeight="false" outlineLevel="0" collapsed="false">
      <c r="A99" s="0" t="s">
        <v>431</v>
      </c>
      <c r="B99" s="0" t="n">
        <v>3.05224733650323</v>
      </c>
      <c r="C99" s="0" t="n">
        <v>1.02277121275804</v>
      </c>
      <c r="D99" s="0" t="n">
        <v>1.57554487505965</v>
      </c>
    </row>
    <row r="100" customFormat="false" ht="14.25" hidden="false" customHeight="false" outlineLevel="0" collapsed="false">
      <c r="A100" s="0" t="s">
        <v>433</v>
      </c>
      <c r="B100" s="0" t="n">
        <v>-2.36737828796296</v>
      </c>
      <c r="C100" s="0" t="n">
        <v>5.18061453561998</v>
      </c>
      <c r="D100" s="0" t="n">
        <v>0.70933419151325</v>
      </c>
    </row>
    <row r="101" customFormat="false" ht="14.25" hidden="false" customHeight="false" outlineLevel="0" collapsed="false">
      <c r="A101" s="0" t="s">
        <v>441</v>
      </c>
      <c r="B101" s="0" t="n">
        <v>13.1667218067636</v>
      </c>
      <c r="C101" s="0" t="n">
        <v>4.59001921923488</v>
      </c>
      <c r="D101" s="0" t="n">
        <v>6.52439146598769</v>
      </c>
    </row>
    <row r="102" customFormat="false" ht="14.25" hidden="false" customHeight="false" outlineLevel="0" collapsed="false">
      <c r="A102" s="0" t="s">
        <v>445</v>
      </c>
      <c r="B102" s="0" t="n">
        <v>-14.6560895181381</v>
      </c>
      <c r="C102" s="0" t="n">
        <v>7.51639297864044</v>
      </c>
      <c r="D102" s="0" t="n">
        <v>-0.456745436718478</v>
      </c>
    </row>
    <row r="103" customFormat="false" ht="14.25" hidden="false" customHeight="false" outlineLevel="0" collapsed="false">
      <c r="A103" s="0" t="s">
        <v>453</v>
      </c>
      <c r="B103" s="0" t="n">
        <v>1.11075786638</v>
      </c>
      <c r="C103" s="0" t="n">
        <v>1.14253623914497</v>
      </c>
      <c r="D103" s="0" t="n">
        <v>-1.29400425280186</v>
      </c>
    </row>
    <row r="104" customFormat="false" ht="14.25" hidden="false" customHeight="false" outlineLevel="0" collapsed="false">
      <c r="A104" s="0" t="s">
        <v>455</v>
      </c>
      <c r="B104" s="0" t="n">
        <v>-4.99808836136205</v>
      </c>
      <c r="C104" s="0" t="n">
        <v>2.00584408744575</v>
      </c>
      <c r="D104" s="0" t="n">
        <v>1.06177041490292</v>
      </c>
    </row>
    <row r="105" customFormat="false" ht="14.25" hidden="false" customHeight="false" outlineLevel="0" collapsed="false">
      <c r="A105" s="0" t="s">
        <v>461</v>
      </c>
      <c r="B105" s="0" t="n">
        <v>4.52920436939212</v>
      </c>
      <c r="C105" s="0" t="n">
        <v>3.05393628328707</v>
      </c>
      <c r="D105" s="0" t="n">
        <v>4.2889168562654</v>
      </c>
    </row>
    <row r="106" customFormat="false" ht="14.25" hidden="false" customHeight="false" outlineLevel="0" collapsed="false">
      <c r="A106" s="0" t="s">
        <v>463</v>
      </c>
      <c r="B106" s="0" t="n">
        <v>2.21480056439837</v>
      </c>
      <c r="C106" s="0" t="n">
        <v>3.88429174715448</v>
      </c>
      <c r="D106" s="0" t="n">
        <v>0.7175995090535</v>
      </c>
    </row>
    <row r="107" customFormat="false" ht="14.25" hidden="false" customHeight="false" outlineLevel="0" collapsed="false">
      <c r="A107" s="0" t="s">
        <v>467</v>
      </c>
      <c r="B107" s="0" t="n">
        <v>7.13032991278833</v>
      </c>
      <c r="C107" s="0" t="n">
        <v>7.59504264761326</v>
      </c>
      <c r="D107" s="0" t="n">
        <v>5.47396244589815</v>
      </c>
    </row>
    <row r="108" customFormat="false" ht="14.25" hidden="false" customHeight="false" outlineLevel="0" collapsed="false">
      <c r="A108" s="0" t="s">
        <v>469</v>
      </c>
      <c r="B108" s="0" t="n">
        <v>7.12870024425581</v>
      </c>
      <c r="C108" s="0" t="n">
        <v>7.59214173256426</v>
      </c>
      <c r="D108" s="0" t="n">
        <v>5.47235499008474</v>
      </c>
    </row>
    <row r="109" customFormat="false" ht="14.25" hidden="false" customHeight="false" outlineLevel="0" collapsed="false">
      <c r="A109" s="0" t="s">
        <v>471</v>
      </c>
      <c r="B109" s="0" t="n">
        <v>3.47153040748628</v>
      </c>
      <c r="C109" s="0" t="n">
        <v>2.03081685443894</v>
      </c>
      <c r="D109" s="0" t="n">
        <v>1.0516839557899</v>
      </c>
    </row>
    <row r="110" customFormat="false" ht="14.25" hidden="false" customHeight="false" outlineLevel="0" collapsed="false">
      <c r="A110" s="0" t="s">
        <v>473</v>
      </c>
      <c r="B110" s="0" t="n">
        <v>4.2725797008347</v>
      </c>
      <c r="C110" s="0" t="n">
        <v>1.99081737240674</v>
      </c>
      <c r="D110" s="0" t="n">
        <v>1.15431449470637</v>
      </c>
    </row>
    <row r="111" customFormat="false" ht="14.25" hidden="false" customHeight="false" outlineLevel="0" collapsed="false">
      <c r="A111" s="0" t="s">
        <v>475</v>
      </c>
      <c r="B111" s="0" t="n">
        <v>8.46820569783873</v>
      </c>
      <c r="C111" s="0" t="n">
        <v>5.06022283317068</v>
      </c>
      <c r="D111" s="0" t="n">
        <v>1.2565996687717</v>
      </c>
    </row>
    <row r="112" customFormat="false" ht="14.25" hidden="false" customHeight="false" outlineLevel="0" collapsed="false">
      <c r="A112" s="0" t="s">
        <v>477</v>
      </c>
      <c r="B112" s="0" t="n">
        <v>7.90043534407549</v>
      </c>
      <c r="C112" s="0" t="n">
        <v>4.90118633738538</v>
      </c>
      <c r="D112" s="0" t="n">
        <v>1.73077722319879</v>
      </c>
    </row>
    <row r="113" customFormat="false" ht="14.25" hidden="false" customHeight="false" outlineLevel="0" collapsed="false">
      <c r="A113" s="0" t="s">
        <v>479</v>
      </c>
      <c r="B113" s="0" t="n">
        <v>3.70939329291711</v>
      </c>
      <c r="C113" s="0" t="n">
        <v>2.08903413769983</v>
      </c>
      <c r="D113" s="0" t="n">
        <v>1.42364981382124</v>
      </c>
    </row>
    <row r="114" customFormat="false" ht="14.25" hidden="false" customHeight="false" outlineLevel="0" collapsed="false">
      <c r="A114" s="0" t="s">
        <v>483</v>
      </c>
      <c r="B114" s="0" t="n">
        <v>-0.0656212623978547</v>
      </c>
      <c r="C114" s="0" t="n">
        <v>1.65451271495662</v>
      </c>
      <c r="D114" s="0" t="n">
        <v>0.654667420001132</v>
      </c>
    </row>
    <row r="115" customFormat="false" ht="14.25" hidden="false" customHeight="false" outlineLevel="0" collapsed="false">
      <c r="A115" s="0" t="s">
        <v>485</v>
      </c>
      <c r="B115" s="0" t="n">
        <v>3.40729992682505</v>
      </c>
      <c r="C115" s="0" t="n">
        <v>1.34422792707798</v>
      </c>
      <c r="D115" s="0" t="n">
        <v>1.34123810065705</v>
      </c>
    </row>
    <row r="116" customFormat="false" ht="14.25" hidden="false" customHeight="false" outlineLevel="0" collapsed="false">
      <c r="A116" s="0" t="s">
        <v>487</v>
      </c>
      <c r="B116" s="0" t="n">
        <v>4.8858536773128</v>
      </c>
      <c r="C116" s="0" t="n">
        <v>5.07904410437081</v>
      </c>
      <c r="D116" s="0" t="n">
        <v>2.956442160696</v>
      </c>
    </row>
    <row r="117" customFormat="false" ht="14.25" hidden="false" customHeight="false" outlineLevel="0" collapsed="false">
      <c r="A117" s="0" t="s">
        <v>489</v>
      </c>
      <c r="B117" s="0" t="n">
        <v>4.36900424168793</v>
      </c>
      <c r="C117" s="0" t="n">
        <v>4.6924161264663</v>
      </c>
      <c r="D117" s="0" t="n">
        <v>2.57333756167266</v>
      </c>
    </row>
    <row r="118" customFormat="false" ht="14.25" hidden="false" customHeight="false" outlineLevel="0" collapsed="false">
      <c r="A118" s="0" t="s">
        <v>491</v>
      </c>
      <c r="B118" s="0" t="n">
        <v>-2.12106873762205</v>
      </c>
      <c r="C118" s="0" t="n">
        <v>2.37241008681201</v>
      </c>
      <c r="D118" s="0" t="n">
        <v>0.368995322999368</v>
      </c>
    </row>
    <row r="119" customFormat="false" ht="14.25" hidden="false" customHeight="false" outlineLevel="0" collapsed="false">
      <c r="A119" s="0" t="s">
        <v>495</v>
      </c>
      <c r="B119" s="0" t="n">
        <v>-0.638958595795643</v>
      </c>
      <c r="C119" s="0" t="n">
        <v>2.63036301121973</v>
      </c>
      <c r="D119" s="0" t="n">
        <v>1.40654219374754</v>
      </c>
    </row>
    <row r="120" customFormat="false" ht="14.25" hidden="false" customHeight="false" outlineLevel="0" collapsed="false">
      <c r="A120" s="0" t="s">
        <v>497</v>
      </c>
      <c r="B120" s="0" t="n">
        <v>6.78238911638086</v>
      </c>
      <c r="C120" s="0" t="n">
        <v>5.95408318591721</v>
      </c>
      <c r="D120" s="0" t="n">
        <v>4.16886496478115</v>
      </c>
    </row>
    <row r="121" customFormat="false" ht="14.25" hidden="false" customHeight="false" outlineLevel="0" collapsed="false">
      <c r="A121" s="0" t="s">
        <v>499</v>
      </c>
      <c r="B121" s="0" t="n">
        <v>3.23371396911982</v>
      </c>
      <c r="C121" s="0" t="n">
        <v>3.30819218628106</v>
      </c>
      <c r="D121" s="0" t="n">
        <v>0.122252616343516</v>
      </c>
    </row>
    <row r="122" customFormat="false" ht="14.25" hidden="false" customHeight="false" outlineLevel="0" collapsed="false">
      <c r="A122" s="0" t="s">
        <v>501</v>
      </c>
      <c r="B122" s="0" t="n">
        <v>3.36787308889994</v>
      </c>
      <c r="C122" s="0" t="n">
        <v>3.45899120959916</v>
      </c>
      <c r="D122" s="0" t="n">
        <v>-0.0366518523321275</v>
      </c>
    </row>
    <row r="123" customFormat="false" ht="14.25" hidden="false" customHeight="false" outlineLevel="0" collapsed="false">
      <c r="A123" s="0" t="s">
        <v>503</v>
      </c>
      <c r="B123" s="0" t="n">
        <v>3.18661012098573</v>
      </c>
      <c r="C123" s="0" t="n">
        <v>3.36523716811837</v>
      </c>
      <c r="D123" s="0" t="n">
        <v>0.0984129394663711</v>
      </c>
    </row>
    <row r="124" customFormat="false" ht="14.25" hidden="false" customHeight="false" outlineLevel="0" collapsed="false">
      <c r="A124" s="0" t="s">
        <v>507</v>
      </c>
      <c r="B124" s="0" t="n">
        <v>4.48477575222897</v>
      </c>
      <c r="C124" s="0" t="n">
        <v>4.795693096843</v>
      </c>
      <c r="D124" s="0" t="n">
        <v>2.56128633925418</v>
      </c>
    </row>
    <row r="125" customFormat="false" ht="14.25" hidden="false" customHeight="false" outlineLevel="0" collapsed="false">
      <c r="A125" s="0" t="s">
        <v>511</v>
      </c>
      <c r="B125" s="0" t="n">
        <v>1.84384685275421</v>
      </c>
      <c r="C125" s="0" t="n">
        <v>3.12173730683962</v>
      </c>
      <c r="D125" s="0" t="n">
        <v>1.91361362922142</v>
      </c>
    </row>
    <row r="126" customFormat="false" ht="14.25" hidden="false" customHeight="false" outlineLevel="0" collapsed="false">
      <c r="A126" s="0" t="s">
        <v>515</v>
      </c>
      <c r="B126" s="0" t="n">
        <v>2.87591661343005</v>
      </c>
      <c r="C126" s="0" t="n">
        <v>0.921444948171384</v>
      </c>
      <c r="D126" s="0" t="n">
        <v>-2.52440333777092</v>
      </c>
    </row>
    <row r="127" customFormat="false" ht="14.25" hidden="false" customHeight="false" outlineLevel="0" collapsed="false">
      <c r="A127" s="0" t="s">
        <v>517</v>
      </c>
      <c r="B127" s="0" t="n">
        <v>3.09090083003967</v>
      </c>
      <c r="C127" s="0" t="n">
        <v>0.86675932441922</v>
      </c>
      <c r="D127" s="0" t="n">
        <v>-2.54623739038692</v>
      </c>
    </row>
    <row r="128" customFormat="false" ht="14.25" hidden="false" customHeight="false" outlineLevel="0" collapsed="false">
      <c r="A128" s="0" t="s">
        <v>519</v>
      </c>
      <c r="B128" s="0" t="n">
        <v>4.63267222938859</v>
      </c>
      <c r="C128" s="0" t="n">
        <v>4.95068984333484</v>
      </c>
      <c r="D128" s="0" t="n">
        <v>2.73946143322851</v>
      </c>
    </row>
    <row r="129" customFormat="false" ht="14.25" hidden="false" customHeight="false" outlineLevel="0" collapsed="false">
      <c r="A129" s="0" t="s">
        <v>521</v>
      </c>
      <c r="B129" s="0" t="n">
        <v>3.19642377240712</v>
      </c>
      <c r="C129" s="0" t="n">
        <v>1.13540290974036</v>
      </c>
      <c r="D129" s="0" t="n">
        <v>1.49922052207413</v>
      </c>
    </row>
    <row r="130" customFormat="false" ht="14.25" hidden="false" customHeight="false" outlineLevel="0" collapsed="false">
      <c r="A130" s="0" t="s">
        <v>525</v>
      </c>
      <c r="B130" s="0" t="n">
        <v>3.35995051569549</v>
      </c>
      <c r="C130" s="0" t="n">
        <v>1.38046004267085</v>
      </c>
      <c r="D130" s="0" t="n">
        <v>1.19655747230712</v>
      </c>
    </row>
    <row r="131" customFormat="false" ht="14.25" hidden="false" customHeight="false" outlineLevel="0" collapsed="false">
      <c r="A131" s="0" t="s">
        <v>531</v>
      </c>
      <c r="B131" s="0" t="n">
        <v>3.50654486400161</v>
      </c>
      <c r="C131" s="0" t="n">
        <v>1.33247688585236</v>
      </c>
      <c r="D131" s="0" t="n">
        <v>1.45905092372065</v>
      </c>
    </row>
    <row r="132" customFormat="false" ht="14.25" hidden="false" customHeight="false" outlineLevel="0" collapsed="false">
      <c r="A132" s="0" t="s">
        <v>533</v>
      </c>
      <c r="B132" s="0" t="n">
        <v>-3.03609698902932</v>
      </c>
      <c r="C132" s="0" t="n">
        <v>1.89055765435511</v>
      </c>
      <c r="D132" s="0" t="n">
        <v>0.517647005145989</v>
      </c>
    </row>
    <row r="133" customFormat="false" ht="14.25" hidden="false" customHeight="false" outlineLevel="0" collapsed="false">
      <c r="A133" s="0" t="s">
        <v>537</v>
      </c>
      <c r="B133" s="0" t="n">
        <v>1.95771111961729</v>
      </c>
      <c r="C133" s="0" t="n">
        <v>3.92988160098429</v>
      </c>
      <c r="D133" s="0" t="n">
        <v>2.91747297314622</v>
      </c>
    </row>
    <row r="134" customFormat="false" ht="14.25" hidden="false" customHeight="false" outlineLevel="0" collapsed="false">
      <c r="A134" s="0" t="s">
        <v>539</v>
      </c>
      <c r="B134" s="0" t="n">
        <v>1.95771111961729</v>
      </c>
      <c r="C134" s="0" t="n">
        <v>3.92988160098429</v>
      </c>
      <c r="D134" s="0" t="n">
        <v>2.91747297314622</v>
      </c>
    </row>
    <row r="135" customFormat="false" ht="14.25" hidden="false" customHeight="false" outlineLevel="0" collapsed="false">
      <c r="A135" s="0" t="s">
        <v>541</v>
      </c>
      <c r="B135" s="0" t="n">
        <v>-1.17532907219976</v>
      </c>
      <c r="C135" s="0" t="n">
        <v>1.5199725076549</v>
      </c>
      <c r="D135" s="0" t="n">
        <v>-0.211957597454472</v>
      </c>
    </row>
    <row r="136" customFormat="false" ht="14.25" hidden="false" customHeight="false" outlineLevel="0" collapsed="false">
      <c r="A136" s="0" t="s">
        <v>543</v>
      </c>
      <c r="B136" s="0" t="n">
        <v>-1.17553857370952</v>
      </c>
      <c r="C136" s="0" t="n">
        <v>1.51942562318837</v>
      </c>
      <c r="D136" s="0" t="n">
        <v>-0.212111475841354</v>
      </c>
    </row>
    <row r="137" customFormat="false" ht="14.25" hidden="false" customHeight="false" outlineLevel="0" collapsed="false">
      <c r="A137" s="0" t="s">
        <v>545</v>
      </c>
      <c r="B137" s="0" t="n">
        <v>-1.17532907219976</v>
      </c>
      <c r="C137" s="0" t="n">
        <v>1.51997250765486</v>
      </c>
      <c r="D137" s="0" t="n">
        <v>-0.211957597454472</v>
      </c>
    </row>
    <row r="138" customFormat="false" ht="14.25" hidden="false" customHeight="false" outlineLevel="0" collapsed="false">
      <c r="A138" s="0" t="s">
        <v>547</v>
      </c>
      <c r="B138" s="0" t="n">
        <v>5.88566091603229</v>
      </c>
      <c r="C138" s="0" t="n">
        <v>5.95577351107235</v>
      </c>
      <c r="D138" s="0" t="n">
        <v>3.38629117064801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55078125" defaultRowHeight="14.25" zeroHeight="false" outlineLevelRow="0" outlineLevelCol="0"/>
  <cols>
    <col collapsed="false" customWidth="true" hidden="false" outlineLevel="0" max="1" min="1" style="0" width="45.22"/>
    <col collapsed="false" customWidth="true" hidden="false" outlineLevel="0" max="3" min="2" style="0" width="12.89"/>
    <col collapsed="false" customWidth="true" hidden="false" outlineLevel="0" max="6" min="6" style="0" width="24.78"/>
  </cols>
  <sheetData>
    <row r="1" customFormat="false" ht="29.15" hidden="false" customHeight="false" outlineLevel="0" collapsed="false">
      <c r="F1" s="18" t="s">
        <v>564</v>
      </c>
    </row>
    <row r="2" customFormat="false" ht="17.8" hidden="false" customHeight="false" outlineLevel="0" collapsed="false">
      <c r="A2" s="19" t="s">
        <v>2</v>
      </c>
      <c r="B2" s="19" t="s">
        <v>5</v>
      </c>
      <c r="C2" s="19" t="s">
        <v>14</v>
      </c>
    </row>
    <row r="3" customFormat="false" ht="16.4" hidden="false" customHeight="false" outlineLevel="0" collapsed="false">
      <c r="A3" s="20" t="s">
        <v>107</v>
      </c>
      <c r="B3" s="21" t="n">
        <v>440</v>
      </c>
      <c r="C3" s="22" t="n">
        <v>1110</v>
      </c>
      <c r="F3" s="2" t="s">
        <v>565</v>
      </c>
    </row>
    <row r="4" customFormat="false" ht="16.4" hidden="false" customHeight="false" outlineLevel="0" collapsed="false">
      <c r="A4" s="20" t="s">
        <v>287</v>
      </c>
      <c r="B4" s="21" t="n">
        <v>460</v>
      </c>
      <c r="C4" s="22" t="n">
        <v>1310</v>
      </c>
    </row>
    <row r="5" customFormat="false" ht="16.4" hidden="false" customHeight="false" outlineLevel="0" collapsed="false">
      <c r="A5" s="20" t="s">
        <v>147</v>
      </c>
      <c r="B5" s="21" t="n">
        <v>480</v>
      </c>
      <c r="C5" s="22" t="n">
        <v>2300</v>
      </c>
    </row>
    <row r="6" customFormat="false" ht="16.4" hidden="false" customHeight="false" outlineLevel="0" collapsed="false">
      <c r="A6" s="20" t="s">
        <v>81</v>
      </c>
      <c r="B6" s="21" t="n">
        <v>540</v>
      </c>
      <c r="C6" s="22" t="n">
        <v>790</v>
      </c>
    </row>
    <row r="7" customFormat="false" ht="16.4" hidden="false" customHeight="false" outlineLevel="0" collapsed="false">
      <c r="A7" s="20" t="s">
        <v>343</v>
      </c>
      <c r="B7" s="21" t="n">
        <v>630</v>
      </c>
      <c r="C7" s="22" t="n">
        <v>2240</v>
      </c>
      <c r="F7" s="23" t="s">
        <v>564</v>
      </c>
      <c r="G7" s="24" t="s">
        <v>566</v>
      </c>
      <c r="H7" s="24" t="s">
        <v>567</v>
      </c>
    </row>
    <row r="8" customFormat="false" ht="16.4" hidden="false" customHeight="false" outlineLevel="0" collapsed="false">
      <c r="A8" s="20" t="s">
        <v>93</v>
      </c>
      <c r="B8" s="21" t="n">
        <v>660</v>
      </c>
      <c r="C8" s="22" t="n">
        <v>1060</v>
      </c>
      <c r="F8" s="24"/>
      <c r="G8" s="24"/>
      <c r="H8" s="24"/>
    </row>
    <row r="9" customFormat="false" ht="16.4" hidden="false" customHeight="false" outlineLevel="0" collapsed="false">
      <c r="A9" s="20" t="s">
        <v>257</v>
      </c>
      <c r="B9" s="21" t="n">
        <v>670</v>
      </c>
      <c r="C9" s="22" t="n">
        <v>1550</v>
      </c>
      <c r="F9" s="25" t="s">
        <v>568</v>
      </c>
      <c r="G9" s="24" t="n">
        <v>66</v>
      </c>
      <c r="H9" s="24" t="n">
        <v>56</v>
      </c>
    </row>
    <row r="10" customFormat="false" ht="16.4" hidden="false" customHeight="false" outlineLevel="0" collapsed="false">
      <c r="A10" s="20" t="s">
        <v>359</v>
      </c>
      <c r="B10" s="21" t="n">
        <v>670</v>
      </c>
      <c r="C10" s="22" t="n">
        <v>1770</v>
      </c>
      <c r="F10" s="26" t="s">
        <v>569</v>
      </c>
      <c r="G10" s="24" t="n">
        <v>39</v>
      </c>
      <c r="H10" s="24" t="n">
        <v>30</v>
      </c>
    </row>
    <row r="11" customFormat="false" ht="16.4" hidden="false" customHeight="false" outlineLevel="0" collapsed="false">
      <c r="A11" s="20" t="s">
        <v>95</v>
      </c>
      <c r="B11" s="21" t="n">
        <v>760</v>
      </c>
      <c r="C11" s="22" t="n">
        <v>1620</v>
      </c>
      <c r="F11" s="27" t="s">
        <v>570</v>
      </c>
      <c r="G11" s="24" t="n">
        <v>55</v>
      </c>
      <c r="H11" s="24" t="n">
        <v>62</v>
      </c>
    </row>
    <row r="12" customFormat="false" ht="16.4" hidden="false" customHeight="false" outlineLevel="0" collapsed="false">
      <c r="A12" s="20" t="s">
        <v>305</v>
      </c>
      <c r="B12" s="21" t="n">
        <v>810</v>
      </c>
      <c r="C12" s="22" t="n">
        <v>1330</v>
      </c>
      <c r="F12" s="28" t="s">
        <v>571</v>
      </c>
      <c r="G12" s="24" t="n">
        <v>25</v>
      </c>
      <c r="H12" s="24" t="n">
        <v>36</v>
      </c>
    </row>
    <row r="13" customFormat="false" ht="16.4" hidden="false" customHeight="false" outlineLevel="0" collapsed="false">
      <c r="A13" s="20" t="s">
        <v>243</v>
      </c>
      <c r="B13" s="21" t="n">
        <v>880</v>
      </c>
      <c r="C13" s="22" t="n">
        <v>1320</v>
      </c>
      <c r="F13" s="29" t="s">
        <v>572</v>
      </c>
      <c r="G13" s="24" t="n">
        <v>37</v>
      </c>
      <c r="H13" s="24" t="n">
        <v>38</v>
      </c>
    </row>
    <row r="14" customFormat="false" ht="16.4" hidden="false" customHeight="false" outlineLevel="0" collapsed="false">
      <c r="A14" s="20" t="s">
        <v>79</v>
      </c>
      <c r="B14" s="21" t="n">
        <v>920</v>
      </c>
      <c r="C14" s="22" t="n">
        <v>2180</v>
      </c>
      <c r="G14" s="24" t="n">
        <f aca="false">G9+G10+G11+G12+G13</f>
        <v>222</v>
      </c>
      <c r="H14" s="24" t="n">
        <f aca="false">H9+H10+H11+H12+H13</f>
        <v>222</v>
      </c>
    </row>
    <row r="15" customFormat="false" ht="16.4" hidden="false" customHeight="false" outlineLevel="0" collapsed="false">
      <c r="A15" s="20" t="s">
        <v>289</v>
      </c>
      <c r="B15" s="21" t="n">
        <v>920</v>
      </c>
      <c r="C15" s="22" t="n">
        <v>5150</v>
      </c>
    </row>
    <row r="16" customFormat="false" ht="16.4" hidden="false" customHeight="false" outlineLevel="0" collapsed="false">
      <c r="A16" s="20" t="s">
        <v>407</v>
      </c>
      <c r="B16" s="21" t="n">
        <v>950</v>
      </c>
      <c r="C16" s="22" t="n">
        <v>2220</v>
      </c>
    </row>
    <row r="17" customFormat="false" ht="16.4" hidden="false" customHeight="false" outlineLevel="0" collapsed="false">
      <c r="A17" s="20" t="s">
        <v>399</v>
      </c>
      <c r="B17" s="21" t="n">
        <v>1000</v>
      </c>
      <c r="C17" s="22" t="n">
        <v>4330</v>
      </c>
    </row>
    <row r="18" customFormat="false" ht="16.4" hidden="false" customHeight="false" outlineLevel="0" collapsed="false">
      <c r="A18" s="20" t="s">
        <v>85</v>
      </c>
      <c r="B18" s="21" t="n">
        <v>1040</v>
      </c>
      <c r="C18" s="22" t="n">
        <v>4310</v>
      </c>
    </row>
    <row r="19" customFormat="false" ht="16.4" hidden="false" customHeight="false" outlineLevel="0" collapsed="false">
      <c r="A19" s="20" t="s">
        <v>183</v>
      </c>
      <c r="B19" s="21" t="n">
        <v>1040</v>
      </c>
      <c r="C19" s="22" t="n">
        <v>2060</v>
      </c>
    </row>
    <row r="20" customFormat="false" ht="16.4" hidden="false" customHeight="false" outlineLevel="0" collapsed="false">
      <c r="A20" s="20" t="s">
        <v>509</v>
      </c>
      <c r="B20" s="21" t="n">
        <v>1088.39093283118</v>
      </c>
      <c r="C20" s="22" t="n">
        <v>2465.45052219414</v>
      </c>
    </row>
    <row r="21" customFormat="false" ht="16.4" hidden="false" customHeight="false" outlineLevel="0" collapsed="false">
      <c r="A21" s="20" t="s">
        <v>263</v>
      </c>
      <c r="B21" s="21" t="n">
        <v>1120</v>
      </c>
      <c r="C21" s="22" t="n">
        <v>2330</v>
      </c>
    </row>
    <row r="22" customFormat="false" ht="16.4" hidden="false" customHeight="false" outlineLevel="0" collapsed="false">
      <c r="A22" s="20" t="s">
        <v>423</v>
      </c>
      <c r="B22" s="21" t="n">
        <v>1120</v>
      </c>
      <c r="C22" s="22" t="n">
        <v>2220</v>
      </c>
    </row>
    <row r="23" customFormat="false" ht="16.4" hidden="false" customHeight="false" outlineLevel="0" collapsed="false">
      <c r="A23" s="20" t="s">
        <v>483</v>
      </c>
      <c r="B23" s="21" t="n">
        <v>1173.12165477999</v>
      </c>
      <c r="C23" s="22" t="n">
        <v>2628.26101312338</v>
      </c>
    </row>
    <row r="24" customFormat="false" ht="16.4" hidden="false" customHeight="false" outlineLevel="0" collapsed="false">
      <c r="A24" s="20" t="s">
        <v>505</v>
      </c>
      <c r="B24" s="21" t="n">
        <v>1174.65732173108</v>
      </c>
      <c r="C24" s="22" t="n">
        <v>3135.37802837617</v>
      </c>
    </row>
    <row r="25" customFormat="false" ht="16.4" hidden="false" customHeight="false" outlineLevel="0" collapsed="false">
      <c r="A25" s="20" t="s">
        <v>401</v>
      </c>
      <c r="B25" s="21" t="n">
        <v>1180</v>
      </c>
      <c r="C25" s="22" t="n">
        <v>2810</v>
      </c>
    </row>
    <row r="26" customFormat="false" ht="16.4" hidden="false" customHeight="false" outlineLevel="0" collapsed="false">
      <c r="A26" s="20" t="s">
        <v>181</v>
      </c>
      <c r="B26" s="21" t="n">
        <v>1200</v>
      </c>
      <c r="C26" s="22" t="n">
        <v>2540</v>
      </c>
    </row>
    <row r="27" customFormat="false" ht="16.4" hidden="false" customHeight="false" outlineLevel="0" collapsed="false">
      <c r="A27" s="20" t="s">
        <v>255</v>
      </c>
      <c r="B27" s="21" t="n">
        <v>1270</v>
      </c>
      <c r="C27" s="22" t="n">
        <v>1620</v>
      </c>
    </row>
    <row r="28" customFormat="false" ht="16.4" hidden="false" customHeight="false" outlineLevel="0" collapsed="false">
      <c r="A28" s="20" t="s">
        <v>493</v>
      </c>
      <c r="B28" s="21" t="n">
        <v>1293.52051542563</v>
      </c>
      <c r="C28" s="22" t="n">
        <v>3473.34315967948</v>
      </c>
    </row>
    <row r="29" customFormat="false" ht="16.4" hidden="false" customHeight="false" outlineLevel="0" collapsed="false">
      <c r="A29" s="20" t="s">
        <v>295</v>
      </c>
      <c r="B29" s="21" t="n">
        <v>1360</v>
      </c>
      <c r="C29" s="22" t="n">
        <v>4160</v>
      </c>
    </row>
    <row r="30" customFormat="false" ht="16.4" hidden="false" customHeight="false" outlineLevel="0" collapsed="false">
      <c r="A30" s="20" t="s">
        <v>49</v>
      </c>
      <c r="B30" s="21" t="n">
        <v>1370</v>
      </c>
      <c r="C30" s="22" t="n">
        <v>5190</v>
      </c>
    </row>
    <row r="31" customFormat="false" ht="16.4" hidden="false" customHeight="false" outlineLevel="0" collapsed="false">
      <c r="A31" s="20" t="s">
        <v>449</v>
      </c>
      <c r="B31" s="21" t="n">
        <v>1570</v>
      </c>
      <c r="C31" s="22" t="n">
        <v>3560</v>
      </c>
    </row>
    <row r="32" customFormat="false" ht="16.4" hidden="false" customHeight="false" outlineLevel="0" collapsed="false">
      <c r="A32" s="20" t="s">
        <v>221</v>
      </c>
      <c r="B32" s="21" t="n">
        <v>1600</v>
      </c>
      <c r="C32" s="22" t="n">
        <v>4420</v>
      </c>
    </row>
    <row r="33" customFormat="false" ht="16.4" hidden="false" customHeight="false" outlineLevel="0" collapsed="false">
      <c r="A33" s="20" t="s">
        <v>241</v>
      </c>
      <c r="B33" s="21" t="n">
        <v>1600</v>
      </c>
      <c r="C33" s="22" t="n">
        <v>3060</v>
      </c>
    </row>
    <row r="34" customFormat="false" ht="16.4" hidden="false" customHeight="false" outlineLevel="0" collapsed="false">
      <c r="A34" s="20" t="s">
        <v>369</v>
      </c>
      <c r="B34" s="21" t="n">
        <v>1620</v>
      </c>
      <c r="C34" s="22" t="n">
        <v>2740</v>
      </c>
    </row>
    <row r="35" customFormat="false" ht="16.4" hidden="false" customHeight="false" outlineLevel="0" collapsed="false">
      <c r="A35" s="20" t="s">
        <v>495</v>
      </c>
      <c r="B35" s="21" t="n">
        <v>1623.84843190361</v>
      </c>
      <c r="C35" s="22" t="n">
        <v>3960.61810746256</v>
      </c>
    </row>
    <row r="36" customFormat="false" ht="16.4" hidden="false" customHeight="false" outlineLevel="0" collapsed="false">
      <c r="A36" s="20" t="s">
        <v>167</v>
      </c>
      <c r="B36" s="21" t="n">
        <v>1740</v>
      </c>
      <c r="C36" s="22" t="n">
        <v>5480</v>
      </c>
    </row>
    <row r="37" customFormat="false" ht="16.4" hidden="false" customHeight="false" outlineLevel="0" collapsed="false">
      <c r="A37" s="20" t="s">
        <v>389</v>
      </c>
      <c r="B37" s="21" t="n">
        <v>1740</v>
      </c>
      <c r="C37" s="22" t="n">
        <v>4140</v>
      </c>
    </row>
    <row r="38" customFormat="false" ht="16.4" hidden="false" customHeight="false" outlineLevel="0" collapsed="false">
      <c r="A38" s="20" t="s">
        <v>59</v>
      </c>
      <c r="B38" s="21" t="n">
        <v>1750</v>
      </c>
      <c r="C38" s="22" t="n">
        <v>3390</v>
      </c>
    </row>
    <row r="39" customFormat="false" ht="16.4" hidden="false" customHeight="false" outlineLevel="0" collapsed="false">
      <c r="A39" s="20" t="s">
        <v>233</v>
      </c>
      <c r="B39" s="21" t="n">
        <v>1750</v>
      </c>
      <c r="C39" s="22" t="n">
        <v>5000</v>
      </c>
    </row>
    <row r="40" customFormat="false" ht="16.4" hidden="false" customHeight="false" outlineLevel="0" collapsed="false">
      <c r="A40" s="20" t="s">
        <v>235</v>
      </c>
      <c r="B40" s="21" t="n">
        <v>1760</v>
      </c>
      <c r="C40" s="22" t="n">
        <v>7730</v>
      </c>
    </row>
    <row r="41" customFormat="false" ht="16.4" hidden="false" customHeight="false" outlineLevel="0" collapsed="false">
      <c r="A41" s="20" t="s">
        <v>405</v>
      </c>
      <c r="B41" s="21" t="n">
        <v>1780</v>
      </c>
      <c r="C41" s="22" t="n">
        <v>4960</v>
      </c>
    </row>
    <row r="42" customFormat="false" ht="16.4" hidden="false" customHeight="false" outlineLevel="0" collapsed="false">
      <c r="A42" s="20" t="s">
        <v>105</v>
      </c>
      <c r="B42" s="21" t="n">
        <v>1800</v>
      </c>
      <c r="C42" s="22" t="n">
        <v>3200</v>
      </c>
    </row>
    <row r="43" customFormat="false" ht="16.4" hidden="false" customHeight="false" outlineLevel="0" collapsed="false">
      <c r="A43" s="20" t="s">
        <v>455</v>
      </c>
      <c r="B43" s="21" t="n">
        <v>1808.31748696858</v>
      </c>
      <c r="C43" s="22" t="n">
        <v>4167.62498972404</v>
      </c>
    </row>
    <row r="44" customFormat="false" ht="16.4" hidden="false" customHeight="false" outlineLevel="0" collapsed="false">
      <c r="A44" s="20" t="s">
        <v>161</v>
      </c>
      <c r="B44" s="21" t="n">
        <v>1810</v>
      </c>
      <c r="C44" s="22" t="n">
        <v>2280</v>
      </c>
    </row>
    <row r="45" customFormat="false" ht="16.4" hidden="false" customHeight="false" outlineLevel="0" collapsed="false">
      <c r="A45" s="20" t="s">
        <v>87</v>
      </c>
      <c r="B45" s="21" t="n">
        <v>1830</v>
      </c>
      <c r="C45" s="22" t="n">
        <v>3720</v>
      </c>
    </row>
    <row r="46" customFormat="false" ht="16.4" hidden="false" customHeight="false" outlineLevel="0" collapsed="false">
      <c r="A46" s="20" t="s">
        <v>543</v>
      </c>
      <c r="B46" s="21" t="n">
        <v>1864.88817279891</v>
      </c>
      <c r="C46" s="22" t="n">
        <v>3821.45249379578</v>
      </c>
    </row>
    <row r="47" customFormat="false" ht="16.4" hidden="false" customHeight="false" outlineLevel="0" collapsed="false">
      <c r="A47" s="20" t="s">
        <v>541</v>
      </c>
      <c r="B47" s="21" t="n">
        <v>1866.31289124982</v>
      </c>
      <c r="C47" s="22" t="n">
        <v>3823.55244218584</v>
      </c>
    </row>
    <row r="48" customFormat="false" ht="16.4" hidden="false" customHeight="false" outlineLevel="0" collapsed="false">
      <c r="A48" s="20" t="s">
        <v>545</v>
      </c>
      <c r="B48" s="21" t="n">
        <v>1866.31289124982</v>
      </c>
      <c r="C48" s="22" t="n">
        <v>3823.55244218584</v>
      </c>
    </row>
    <row r="49" customFormat="false" ht="16.4" hidden="false" customHeight="false" outlineLevel="0" collapsed="false">
      <c r="A49" s="20" t="s">
        <v>533</v>
      </c>
      <c r="B49" s="21" t="n">
        <v>1871.519338117</v>
      </c>
      <c r="C49" s="22" t="n">
        <v>3557.86668986623</v>
      </c>
    </row>
    <row r="50" customFormat="false" ht="16.4" hidden="false" customHeight="false" outlineLevel="0" collapsed="false">
      <c r="A50" s="20" t="s">
        <v>453</v>
      </c>
      <c r="B50" s="21" t="n">
        <v>1904.29732037533</v>
      </c>
      <c r="C50" s="22" t="n">
        <v>3589.9560432148</v>
      </c>
    </row>
    <row r="51" customFormat="false" ht="16.4" hidden="false" customHeight="false" outlineLevel="0" collapsed="false">
      <c r="A51" s="20" t="s">
        <v>353</v>
      </c>
      <c r="B51" s="21" t="n">
        <v>1970</v>
      </c>
      <c r="C51" s="22" t="n">
        <v>3410</v>
      </c>
    </row>
    <row r="52" customFormat="false" ht="16.4" hidden="false" customHeight="false" outlineLevel="0" collapsed="false">
      <c r="A52" s="20" t="s">
        <v>323</v>
      </c>
      <c r="B52" s="21" t="n">
        <v>2000</v>
      </c>
      <c r="C52" s="22" t="n">
        <v>4340</v>
      </c>
    </row>
    <row r="53" customFormat="false" ht="16.4" hidden="false" customHeight="false" outlineLevel="0" collapsed="false">
      <c r="A53" s="20" t="s">
        <v>537</v>
      </c>
      <c r="B53" s="21" t="n">
        <v>2061.64976186785</v>
      </c>
      <c r="C53" s="22" t="n">
        <v>6462.56987707023</v>
      </c>
    </row>
    <row r="54" customFormat="false" ht="16.4" hidden="false" customHeight="false" outlineLevel="0" collapsed="false">
      <c r="A54" s="20" t="s">
        <v>539</v>
      </c>
      <c r="B54" s="21" t="n">
        <v>2061.64976186785</v>
      </c>
      <c r="C54" s="22" t="n">
        <v>6462.56987707023</v>
      </c>
    </row>
    <row r="55" customFormat="false" ht="16.4" hidden="false" customHeight="false" outlineLevel="0" collapsed="false">
      <c r="A55" s="20" t="s">
        <v>197</v>
      </c>
      <c r="B55" s="21" t="n">
        <v>2070</v>
      </c>
      <c r="C55" s="22" t="n">
        <v>6930</v>
      </c>
    </row>
    <row r="56" customFormat="false" ht="16.4" hidden="false" customHeight="false" outlineLevel="0" collapsed="false">
      <c r="A56" s="20" t="s">
        <v>113</v>
      </c>
      <c r="B56" s="21" t="n">
        <v>2080</v>
      </c>
      <c r="C56" s="22" t="n">
        <v>5290</v>
      </c>
    </row>
    <row r="57" customFormat="false" ht="16.4" hidden="false" customHeight="false" outlineLevel="0" collapsed="false">
      <c r="A57" s="20" t="s">
        <v>307</v>
      </c>
      <c r="B57" s="21" t="n">
        <v>2090</v>
      </c>
      <c r="C57" s="22" t="n">
        <v>5180</v>
      </c>
    </row>
    <row r="58" customFormat="false" ht="16.4" hidden="false" customHeight="false" outlineLevel="0" collapsed="false">
      <c r="A58" s="20" t="s">
        <v>187</v>
      </c>
      <c r="B58" s="21" t="n">
        <v>2100</v>
      </c>
      <c r="C58" s="22" t="n">
        <v>3040</v>
      </c>
    </row>
    <row r="59" customFormat="false" ht="16.4" hidden="false" customHeight="false" outlineLevel="0" collapsed="false">
      <c r="A59" s="20" t="s">
        <v>437</v>
      </c>
      <c r="B59" s="21" t="n">
        <v>2120</v>
      </c>
      <c r="C59" s="22" t="n">
        <v>3440</v>
      </c>
    </row>
    <row r="60" customFormat="false" ht="16.4" hidden="false" customHeight="false" outlineLevel="0" collapsed="false">
      <c r="A60" s="20" t="s">
        <v>441</v>
      </c>
      <c r="B60" s="21" t="n">
        <v>2120</v>
      </c>
      <c r="C60" s="22" t="n">
        <v>7890</v>
      </c>
    </row>
    <row r="61" customFormat="false" ht="16.4" hidden="false" customHeight="false" outlineLevel="0" collapsed="false">
      <c r="A61" s="20" t="s">
        <v>451</v>
      </c>
      <c r="B61" s="21" t="n">
        <v>2190</v>
      </c>
      <c r="C61" s="22" t="n">
        <v>3100</v>
      </c>
    </row>
    <row r="62" customFormat="false" ht="16.4" hidden="false" customHeight="false" outlineLevel="0" collapsed="false">
      <c r="A62" s="20" t="s">
        <v>491</v>
      </c>
      <c r="B62" s="21" t="n">
        <v>2267.16738004535</v>
      </c>
      <c r="C62" s="22" t="n">
        <v>4958.85595592564</v>
      </c>
    </row>
    <row r="63" customFormat="false" ht="16.4" hidden="false" customHeight="false" outlineLevel="0" collapsed="false">
      <c r="A63" s="20" t="s">
        <v>435</v>
      </c>
      <c r="B63" s="21" t="n">
        <v>2450</v>
      </c>
      <c r="C63" s="22" t="n">
        <v>7400</v>
      </c>
    </row>
    <row r="64" customFormat="false" ht="16.4" hidden="false" customHeight="false" outlineLevel="0" collapsed="false">
      <c r="A64" s="20" t="s">
        <v>481</v>
      </c>
      <c r="B64" s="21" t="n">
        <v>2487.13392674508</v>
      </c>
      <c r="C64" s="22" t="n">
        <v>4723.34146073294</v>
      </c>
    </row>
    <row r="65" customFormat="false" ht="16.4" hidden="false" customHeight="false" outlineLevel="0" collapsed="false">
      <c r="A65" s="20" t="s">
        <v>189</v>
      </c>
      <c r="B65" s="21" t="n">
        <v>2510</v>
      </c>
      <c r="C65" s="22" t="n">
        <v>5520</v>
      </c>
    </row>
    <row r="66" customFormat="false" ht="16.4" hidden="false" customHeight="false" outlineLevel="0" collapsed="false">
      <c r="A66" s="20" t="s">
        <v>275</v>
      </c>
      <c r="B66" s="21" t="n">
        <v>2550</v>
      </c>
      <c r="C66" s="22" t="n">
        <v>4100</v>
      </c>
    </row>
    <row r="67" customFormat="false" ht="16.4" hidden="false" customHeight="false" outlineLevel="0" collapsed="false">
      <c r="A67" s="20" t="s">
        <v>317</v>
      </c>
      <c r="B67" s="21" t="n">
        <v>2560</v>
      </c>
      <c r="C67" s="22" t="n">
        <v>4790</v>
      </c>
    </row>
    <row r="68" customFormat="false" ht="16.4" hidden="false" customHeight="false" outlineLevel="0" collapsed="false">
      <c r="A68" s="20" t="s">
        <v>223</v>
      </c>
      <c r="B68" s="21" t="n">
        <v>2570</v>
      </c>
      <c r="C68" s="22" t="n">
        <v>4640</v>
      </c>
    </row>
    <row r="69" customFormat="false" ht="16.4" hidden="false" customHeight="false" outlineLevel="0" collapsed="false">
      <c r="A69" s="20" t="s">
        <v>303</v>
      </c>
      <c r="B69" s="30" t="n">
        <v>2670</v>
      </c>
      <c r="C69" s="22" t="n">
        <v>5470</v>
      </c>
    </row>
    <row r="70" customFormat="false" ht="16.4" hidden="false" customHeight="false" outlineLevel="0" collapsed="false">
      <c r="A70" s="20" t="s">
        <v>63</v>
      </c>
      <c r="B70" s="30" t="n">
        <v>2690</v>
      </c>
      <c r="C70" s="22" t="n">
        <v>11210</v>
      </c>
    </row>
    <row r="71" customFormat="false" ht="16.4" hidden="false" customHeight="false" outlineLevel="0" collapsed="false">
      <c r="A71" s="20" t="s">
        <v>109</v>
      </c>
      <c r="B71" s="30" t="n">
        <v>2710</v>
      </c>
      <c r="C71" s="22" t="n">
        <v>3140</v>
      </c>
    </row>
    <row r="72" customFormat="false" ht="16.4" hidden="false" customHeight="false" outlineLevel="0" collapsed="false">
      <c r="A72" s="20" t="s">
        <v>35</v>
      </c>
      <c r="B72" s="30" t="n">
        <v>2740</v>
      </c>
      <c r="C72" s="22" t="n">
        <v>14470</v>
      </c>
    </row>
    <row r="73" customFormat="false" ht="16.4" hidden="false" customHeight="false" outlineLevel="0" collapsed="false">
      <c r="A73" s="20" t="s">
        <v>511</v>
      </c>
      <c r="B73" s="30" t="n">
        <v>2777.25859363688</v>
      </c>
      <c r="C73" s="22" t="n">
        <v>7323.23993903519</v>
      </c>
    </row>
    <row r="74" customFormat="false" ht="16.4" hidden="false" customHeight="false" outlineLevel="0" collapsed="false">
      <c r="A74" s="20" t="s">
        <v>29</v>
      </c>
      <c r="B74" s="30" t="n">
        <v>2790</v>
      </c>
      <c r="C74" s="22" t="n">
        <v>6370</v>
      </c>
    </row>
    <row r="75" customFormat="false" ht="16.4" hidden="false" customHeight="false" outlineLevel="0" collapsed="false">
      <c r="A75" s="20" t="s">
        <v>101</v>
      </c>
      <c r="B75" s="30" t="n">
        <v>2890</v>
      </c>
      <c r="C75" s="22" t="n">
        <v>16730</v>
      </c>
    </row>
    <row r="76" customFormat="false" ht="16.4" hidden="false" customHeight="false" outlineLevel="0" collapsed="false">
      <c r="A76" s="20" t="s">
        <v>83</v>
      </c>
      <c r="B76" s="30" t="n">
        <v>2960</v>
      </c>
      <c r="C76" s="22" t="n">
        <v>7320</v>
      </c>
    </row>
    <row r="77" customFormat="false" ht="16.4" hidden="false" customHeight="false" outlineLevel="0" collapsed="false">
      <c r="A77" s="20" t="s">
        <v>269</v>
      </c>
      <c r="B77" s="30" t="n">
        <v>3070</v>
      </c>
      <c r="C77" s="22" t="n">
        <v>5350</v>
      </c>
    </row>
    <row r="78" customFormat="false" ht="16.4" hidden="false" customHeight="false" outlineLevel="0" collapsed="false">
      <c r="A78" s="20" t="s">
        <v>445</v>
      </c>
      <c r="B78" s="30" t="n">
        <v>3100</v>
      </c>
      <c r="C78" s="22" t="n">
        <v>7660</v>
      </c>
    </row>
    <row r="79" customFormat="false" ht="16.4" hidden="false" customHeight="false" outlineLevel="0" collapsed="false">
      <c r="A79" s="20" t="s">
        <v>163</v>
      </c>
      <c r="B79" s="30" t="n">
        <v>3140</v>
      </c>
      <c r="C79" s="22" t="n">
        <v>14930</v>
      </c>
    </row>
    <row r="80" customFormat="false" ht="16.4" hidden="false" customHeight="false" outlineLevel="0" collapsed="false">
      <c r="A80" s="20" t="s">
        <v>267</v>
      </c>
      <c r="B80" s="30" t="n">
        <v>3180</v>
      </c>
      <c r="C80" s="22" t="n">
        <v>5130</v>
      </c>
    </row>
    <row r="81" customFormat="false" ht="16.4" hidden="false" customHeight="false" outlineLevel="0" collapsed="false">
      <c r="A81" s="20" t="s">
        <v>43</v>
      </c>
      <c r="B81" s="30" t="n">
        <v>3220</v>
      </c>
      <c r="C81" s="22" t="n">
        <v>14410</v>
      </c>
    </row>
    <row r="82" customFormat="false" ht="16.4" hidden="false" customHeight="false" outlineLevel="0" collapsed="false">
      <c r="A82" s="20" t="s">
        <v>467</v>
      </c>
      <c r="B82" s="30" t="n">
        <v>3233.94064276253</v>
      </c>
      <c r="C82" s="22" t="n">
        <v>14930.1189056898</v>
      </c>
    </row>
    <row r="83" customFormat="false" ht="16.4" hidden="false" customHeight="false" outlineLevel="0" collapsed="false">
      <c r="A83" s="20" t="s">
        <v>277</v>
      </c>
      <c r="B83" s="30" t="n">
        <v>3240</v>
      </c>
      <c r="C83" s="22" t="n">
        <v>14280</v>
      </c>
    </row>
    <row r="84" customFormat="false" ht="16.4" hidden="false" customHeight="false" outlineLevel="0" collapsed="false">
      <c r="A84" s="20" t="s">
        <v>469</v>
      </c>
      <c r="B84" s="30" t="n">
        <v>3269.18281542278</v>
      </c>
      <c r="C84" s="22" t="n">
        <v>15086.893286898</v>
      </c>
    </row>
    <row r="85" customFormat="false" ht="16.4" hidden="false" customHeight="false" outlineLevel="0" collapsed="false">
      <c r="A85" s="20" t="s">
        <v>65</v>
      </c>
      <c r="B85" s="30" t="n">
        <v>3350</v>
      </c>
      <c r="C85" s="22" t="n">
        <v>8910</v>
      </c>
    </row>
    <row r="86" customFormat="false" ht="16.4" hidden="false" customHeight="false" outlineLevel="0" collapsed="false">
      <c r="A86" s="20" t="s">
        <v>285</v>
      </c>
      <c r="B86" s="30" t="n">
        <v>3510</v>
      </c>
      <c r="C86" s="22" t="n">
        <v>7700</v>
      </c>
    </row>
    <row r="87" customFormat="false" ht="16.4" hidden="false" customHeight="false" outlineLevel="0" collapsed="false">
      <c r="A87" s="20" t="s">
        <v>507</v>
      </c>
      <c r="B87" s="30" t="n">
        <v>3635.37090148572</v>
      </c>
      <c r="C87" s="22" t="n">
        <v>10929.344088831</v>
      </c>
    </row>
    <row r="88" customFormat="false" ht="16.4" hidden="false" customHeight="false" outlineLevel="0" collapsed="false">
      <c r="A88" s="20" t="s">
        <v>409</v>
      </c>
      <c r="B88" s="30" t="n">
        <v>3700</v>
      </c>
      <c r="C88" s="22" t="n">
        <v>6980</v>
      </c>
    </row>
    <row r="89" customFormat="false" ht="16.4" hidden="false" customHeight="false" outlineLevel="0" collapsed="false">
      <c r="A89" s="20" t="s">
        <v>281</v>
      </c>
      <c r="B89" s="30" t="n">
        <v>3710</v>
      </c>
      <c r="C89" s="22" t="n">
        <v>11400</v>
      </c>
    </row>
    <row r="90" customFormat="false" ht="16.4" hidden="false" customHeight="false" outlineLevel="0" collapsed="false">
      <c r="A90" s="20" t="s">
        <v>329</v>
      </c>
      <c r="B90" s="30" t="n">
        <v>3760</v>
      </c>
      <c r="C90" s="22" t="n">
        <v>10220</v>
      </c>
    </row>
    <row r="91" customFormat="false" ht="16.4" hidden="false" customHeight="false" outlineLevel="0" collapsed="false">
      <c r="A91" s="20" t="s">
        <v>489</v>
      </c>
      <c r="B91" s="30" t="n">
        <v>3766.4271708583</v>
      </c>
      <c r="C91" s="22" t="n">
        <v>11207.7983962944</v>
      </c>
    </row>
    <row r="92" customFormat="false" ht="16.4" hidden="false" customHeight="false" outlineLevel="0" collapsed="false">
      <c r="A92" s="20" t="s">
        <v>519</v>
      </c>
      <c r="B92" s="30" t="n">
        <v>3853.5942109133</v>
      </c>
      <c r="C92" s="22" t="n">
        <v>11892.5021087704</v>
      </c>
    </row>
    <row r="93" customFormat="false" ht="16.4" hidden="false" customHeight="false" outlineLevel="0" collapsed="false">
      <c r="A93" s="20" t="s">
        <v>529</v>
      </c>
      <c r="B93" s="30" t="n">
        <v>3979.6622209527</v>
      </c>
      <c r="C93" s="22" t="n">
        <v>7419.74114467201</v>
      </c>
    </row>
    <row r="94" customFormat="false" ht="16.4" hidden="false" customHeight="false" outlineLevel="0" collapsed="false">
      <c r="A94" s="20" t="s">
        <v>21</v>
      </c>
      <c r="B94" s="30" t="n">
        <v>3980</v>
      </c>
      <c r="C94" s="22" t="n">
        <v>14040</v>
      </c>
    </row>
    <row r="95" customFormat="false" ht="16.4" hidden="false" customHeight="false" outlineLevel="0" collapsed="false">
      <c r="A95" s="20" t="s">
        <v>425</v>
      </c>
      <c r="B95" s="30" t="n">
        <v>3980</v>
      </c>
      <c r="C95" s="22" t="n">
        <v>13750</v>
      </c>
    </row>
    <row r="96" customFormat="false" ht="16.4" hidden="false" customHeight="false" outlineLevel="0" collapsed="false">
      <c r="A96" s="20" t="s">
        <v>463</v>
      </c>
      <c r="B96" s="30" t="n">
        <v>4071.40048250297</v>
      </c>
      <c r="C96" s="22" t="n">
        <v>9568.5416258184</v>
      </c>
    </row>
    <row r="97" customFormat="false" ht="16.4" hidden="false" customHeight="false" outlineLevel="0" collapsed="false">
      <c r="A97" s="20" t="s">
        <v>417</v>
      </c>
      <c r="B97" s="30" t="n">
        <v>4120</v>
      </c>
      <c r="C97" s="22" t="n">
        <v>15600</v>
      </c>
    </row>
    <row r="98" customFormat="false" ht="16.4" hidden="false" customHeight="false" outlineLevel="0" collapsed="false">
      <c r="A98" s="20" t="s">
        <v>379</v>
      </c>
      <c r="B98" s="30" t="n">
        <v>4270</v>
      </c>
      <c r="C98" s="22" t="n">
        <v>13230</v>
      </c>
    </row>
    <row r="99" customFormat="false" ht="16.4" hidden="false" customHeight="false" outlineLevel="0" collapsed="false">
      <c r="A99" s="20" t="s">
        <v>137</v>
      </c>
      <c r="B99" s="30" t="n">
        <v>4350</v>
      </c>
      <c r="C99" s="22" t="n">
        <v>8710</v>
      </c>
    </row>
    <row r="100" customFormat="false" ht="16.4" hidden="false" customHeight="false" outlineLevel="0" collapsed="false">
      <c r="A100" s="20" t="s">
        <v>487</v>
      </c>
      <c r="B100" s="30" t="n">
        <v>4353.3843336936</v>
      </c>
      <c r="C100" s="22" t="n">
        <v>13741.4365431469</v>
      </c>
    </row>
    <row r="101" customFormat="false" ht="16.4" hidden="false" customHeight="false" outlineLevel="0" collapsed="false">
      <c r="A101" s="20" t="s">
        <v>199</v>
      </c>
      <c r="B101" s="30" t="n">
        <v>4430</v>
      </c>
      <c r="C101" s="22" t="n">
        <v>11940</v>
      </c>
    </row>
    <row r="102" customFormat="false" ht="16.4" hidden="false" customHeight="false" outlineLevel="0" collapsed="false">
      <c r="A102" s="20" t="s">
        <v>497</v>
      </c>
      <c r="B102" s="30" t="n">
        <v>4675.43567881177</v>
      </c>
      <c r="C102" s="22" t="n">
        <v>17904.3264081326</v>
      </c>
    </row>
    <row r="103" customFormat="false" ht="16.4" hidden="false" customHeight="false" outlineLevel="0" collapsed="false">
      <c r="A103" s="20" t="s">
        <v>179</v>
      </c>
      <c r="B103" s="30" t="n">
        <v>4700</v>
      </c>
      <c r="C103" s="22" t="n">
        <v>8850</v>
      </c>
    </row>
    <row r="104" customFormat="false" ht="16.4" hidden="false" customHeight="false" outlineLevel="0" collapsed="false">
      <c r="A104" s="20" t="s">
        <v>145</v>
      </c>
      <c r="B104" s="30" t="n">
        <v>4810</v>
      </c>
      <c r="C104" s="22" t="n">
        <v>8080</v>
      </c>
    </row>
    <row r="105" customFormat="false" ht="16.4" hidden="false" customHeight="false" outlineLevel="0" collapsed="false">
      <c r="A105" s="20" t="s">
        <v>327</v>
      </c>
      <c r="B105" s="30" t="n">
        <v>4930</v>
      </c>
      <c r="C105" s="22" t="n">
        <v>12820</v>
      </c>
    </row>
    <row r="106" customFormat="false" ht="16.4" hidden="false" customHeight="false" outlineLevel="0" collapsed="false">
      <c r="A106" s="20" t="s">
        <v>67</v>
      </c>
      <c r="B106" s="30" t="n">
        <v>5040</v>
      </c>
      <c r="C106" s="22" t="n">
        <v>15840</v>
      </c>
    </row>
    <row r="107" customFormat="false" ht="16.4" hidden="false" customHeight="false" outlineLevel="0" collapsed="false">
      <c r="A107" s="20" t="s">
        <v>57</v>
      </c>
      <c r="B107" s="30" t="n">
        <v>5210</v>
      </c>
      <c r="C107" s="22" t="n">
        <v>6960</v>
      </c>
    </row>
    <row r="108" customFormat="false" ht="16.4" hidden="false" customHeight="false" outlineLevel="0" collapsed="false">
      <c r="A108" s="20" t="s">
        <v>291</v>
      </c>
      <c r="B108" s="31" t="n">
        <v>5230</v>
      </c>
      <c r="C108" s="22" t="n">
        <v>10010</v>
      </c>
    </row>
    <row r="109" customFormat="false" ht="16.4" hidden="false" customHeight="false" outlineLevel="0" collapsed="false">
      <c r="A109" s="20" t="s">
        <v>133</v>
      </c>
      <c r="B109" s="31" t="n">
        <v>5450</v>
      </c>
      <c r="C109" s="22" t="n">
        <v>11520</v>
      </c>
    </row>
    <row r="110" customFormat="false" ht="16.4" hidden="false" customHeight="false" outlineLevel="0" collapsed="false">
      <c r="A110" s="20" t="s">
        <v>465</v>
      </c>
      <c r="B110" s="31" t="n">
        <v>5694.79646154542</v>
      </c>
      <c r="C110" s="22" t="n">
        <v>18348.6283566764</v>
      </c>
    </row>
    <row r="111" customFormat="false" ht="16.4" hidden="false" customHeight="false" outlineLevel="0" collapsed="false">
      <c r="A111" s="20" t="s">
        <v>413</v>
      </c>
      <c r="B111" s="31" t="n">
        <v>5720</v>
      </c>
      <c r="C111" s="22" t="n">
        <v>10720</v>
      </c>
    </row>
    <row r="112" customFormat="false" ht="16.4" hidden="false" customHeight="false" outlineLevel="0" collapsed="false">
      <c r="A112" s="20" t="s">
        <v>129</v>
      </c>
      <c r="B112" s="31" t="n">
        <v>5750</v>
      </c>
      <c r="C112" s="22" t="n">
        <v>12200</v>
      </c>
    </row>
    <row r="113" customFormat="false" ht="16.4" hidden="false" customHeight="false" outlineLevel="0" collapsed="false">
      <c r="A113" s="20" t="s">
        <v>53</v>
      </c>
      <c r="B113" s="31" t="n">
        <v>5780</v>
      </c>
      <c r="C113" s="22" t="n">
        <v>19520</v>
      </c>
    </row>
    <row r="114" customFormat="false" ht="16.4" hidden="false" customHeight="false" outlineLevel="0" collapsed="false">
      <c r="A114" s="20" t="s">
        <v>339</v>
      </c>
      <c r="B114" s="31" t="n">
        <v>5810</v>
      </c>
      <c r="C114" s="22" t="n">
        <v>31840</v>
      </c>
    </row>
    <row r="115" customFormat="false" ht="16.4" hidden="false" customHeight="false" outlineLevel="0" collapsed="false">
      <c r="A115" s="20" t="s">
        <v>135</v>
      </c>
      <c r="B115" s="31" t="n">
        <v>5820</v>
      </c>
      <c r="C115" s="22" t="n">
        <v>11820</v>
      </c>
    </row>
    <row r="116" customFormat="false" ht="16.4" hidden="false" customHeight="false" outlineLevel="0" collapsed="false">
      <c r="A116" s="20" t="s">
        <v>325</v>
      </c>
      <c r="B116" s="31" t="n">
        <v>5820</v>
      </c>
      <c r="C116" s="22" t="n">
        <v>12760</v>
      </c>
    </row>
    <row r="117" customFormat="false" ht="16.4" hidden="false" customHeight="false" outlineLevel="0" collapsed="false">
      <c r="A117" s="20" t="s">
        <v>185</v>
      </c>
      <c r="B117" s="31" t="n">
        <v>5870</v>
      </c>
      <c r="C117" s="22" t="n">
        <v>13510</v>
      </c>
    </row>
    <row r="118" customFormat="false" ht="16.4" hidden="false" customHeight="false" outlineLevel="0" collapsed="false">
      <c r="A118" s="20" t="s">
        <v>139</v>
      </c>
      <c r="B118" s="31" t="n">
        <v>5890</v>
      </c>
      <c r="C118" s="22" t="n">
        <v>14070</v>
      </c>
    </row>
    <row r="119" customFormat="false" ht="16.4" hidden="false" customHeight="false" outlineLevel="0" collapsed="false">
      <c r="A119" s="20" t="s">
        <v>387</v>
      </c>
      <c r="B119" s="31" t="n">
        <v>5920</v>
      </c>
      <c r="C119" s="22" t="n">
        <v>12910</v>
      </c>
    </row>
    <row r="120" customFormat="false" ht="16.4" hidden="false" customHeight="false" outlineLevel="0" collapsed="false">
      <c r="A120" s="20" t="s">
        <v>151</v>
      </c>
      <c r="B120" s="31" t="n">
        <v>5950</v>
      </c>
      <c r="C120" s="22" t="n">
        <v>13090</v>
      </c>
    </row>
    <row r="121" customFormat="false" ht="16.4" hidden="false" customHeight="false" outlineLevel="0" collapsed="false">
      <c r="A121" s="20" t="s">
        <v>217</v>
      </c>
      <c r="B121" s="31" t="n">
        <v>6010</v>
      </c>
      <c r="C121" s="22" t="n">
        <v>10500</v>
      </c>
    </row>
    <row r="122" customFormat="false" ht="16.4" hidden="false" customHeight="false" outlineLevel="0" collapsed="false">
      <c r="A122" s="20" t="s">
        <v>309</v>
      </c>
      <c r="B122" s="31" t="n">
        <v>6020</v>
      </c>
      <c r="C122" s="22" t="n">
        <v>16770</v>
      </c>
    </row>
    <row r="123" customFormat="false" ht="16.4" hidden="false" customHeight="false" outlineLevel="0" collapsed="false">
      <c r="A123" s="20" t="s">
        <v>355</v>
      </c>
      <c r="B123" s="31" t="n">
        <v>6020</v>
      </c>
      <c r="C123" s="22" t="n">
        <v>17910</v>
      </c>
    </row>
    <row r="124" customFormat="false" ht="16.4" hidden="false" customHeight="false" outlineLevel="0" collapsed="false">
      <c r="A124" s="20" t="s">
        <v>475</v>
      </c>
      <c r="B124" s="31" t="n">
        <v>6046.99928975805</v>
      </c>
      <c r="C124" s="22" t="n">
        <v>22360.6867728335</v>
      </c>
    </row>
    <row r="125" customFormat="false" ht="16.4" hidden="false" customHeight="false" outlineLevel="0" collapsed="false">
      <c r="A125" s="20" t="s">
        <v>213</v>
      </c>
      <c r="B125" s="31" t="n">
        <v>6110</v>
      </c>
      <c r="C125" s="22" t="n">
        <v>9930</v>
      </c>
    </row>
    <row r="126" customFormat="false" ht="16.4" hidden="false" customHeight="false" outlineLevel="0" collapsed="false">
      <c r="A126" s="20" t="s">
        <v>77</v>
      </c>
      <c r="B126" s="31" t="n">
        <v>6270</v>
      </c>
      <c r="C126" s="22" t="n">
        <v>24180</v>
      </c>
    </row>
    <row r="127" customFormat="false" ht="16.4" hidden="false" customHeight="false" outlineLevel="0" collapsed="false">
      <c r="A127" s="20" t="s">
        <v>283</v>
      </c>
      <c r="B127" s="31" t="n">
        <v>6310</v>
      </c>
      <c r="C127" s="22" t="n">
        <v>23420</v>
      </c>
    </row>
    <row r="128" customFormat="false" ht="16.4" hidden="false" customHeight="false" outlineLevel="0" collapsed="false">
      <c r="A128" s="20" t="s">
        <v>131</v>
      </c>
      <c r="B128" s="31" t="n">
        <v>6480</v>
      </c>
      <c r="C128" s="22" t="n">
        <v>18310</v>
      </c>
    </row>
    <row r="129" customFormat="false" ht="16.4" hidden="false" customHeight="false" outlineLevel="0" collapsed="false">
      <c r="A129" s="20" t="s">
        <v>477</v>
      </c>
      <c r="B129" s="31" t="n">
        <v>6495.86713463189</v>
      </c>
      <c r="C129" s="22" t="n">
        <v>23285.6945325929</v>
      </c>
    </row>
    <row r="130" customFormat="false" ht="16.4" hidden="false" customHeight="false" outlineLevel="0" collapsed="false">
      <c r="A130" s="20" t="s">
        <v>103</v>
      </c>
      <c r="B130" s="31" t="n">
        <v>6550</v>
      </c>
      <c r="C130" s="22" t="n">
        <v>15280</v>
      </c>
    </row>
    <row r="131" customFormat="false" ht="16.4" hidden="false" customHeight="false" outlineLevel="0" collapsed="false">
      <c r="A131" s="20" t="s">
        <v>341</v>
      </c>
      <c r="B131" s="31" t="n">
        <v>6650</v>
      </c>
      <c r="C131" s="22" t="n">
        <v>28260</v>
      </c>
    </row>
    <row r="132" customFormat="false" ht="16.4" hidden="false" customHeight="false" outlineLevel="0" collapsed="false">
      <c r="A132" s="20" t="s">
        <v>175</v>
      </c>
      <c r="B132" s="31" t="n">
        <v>7150</v>
      </c>
      <c r="C132" s="22" t="n">
        <v>16030</v>
      </c>
    </row>
    <row r="133" customFormat="false" ht="16.4" hidden="false" customHeight="false" outlineLevel="0" collapsed="false">
      <c r="A133" s="20" t="s">
        <v>403</v>
      </c>
      <c r="B133" s="31" t="n">
        <v>7160</v>
      </c>
      <c r="C133" s="22" t="n">
        <v>18530</v>
      </c>
    </row>
    <row r="134" customFormat="false" ht="16.4" hidden="false" customHeight="false" outlineLevel="0" collapsed="false">
      <c r="A134" s="20" t="s">
        <v>219</v>
      </c>
      <c r="B134" s="31" t="n">
        <v>7250</v>
      </c>
      <c r="C134" s="22" t="n">
        <v>24040</v>
      </c>
    </row>
    <row r="135" customFormat="false" ht="16.4" hidden="false" customHeight="false" outlineLevel="0" collapsed="false">
      <c r="A135" s="20" t="s">
        <v>515</v>
      </c>
      <c r="B135" s="31" t="n">
        <v>7325.41581327572</v>
      </c>
      <c r="C135" s="22" t="n">
        <v>10881.1754387587</v>
      </c>
    </row>
    <row r="136" customFormat="false" ht="16.4" hidden="false" customHeight="false" outlineLevel="0" collapsed="false">
      <c r="A136" s="20" t="s">
        <v>391</v>
      </c>
      <c r="B136" s="31" t="n">
        <v>7340</v>
      </c>
      <c r="C136" s="22" t="n">
        <v>17880</v>
      </c>
    </row>
    <row r="137" customFormat="false" ht="16.4" hidden="false" customHeight="false" outlineLevel="0" collapsed="false">
      <c r="A137" s="20" t="s">
        <v>517</v>
      </c>
      <c r="B137" s="31" t="n">
        <v>7370.44464244736</v>
      </c>
      <c r="C137" s="22" t="n">
        <v>10918.79613426</v>
      </c>
    </row>
    <row r="138" customFormat="false" ht="16.4" hidden="false" customHeight="false" outlineLevel="0" collapsed="false">
      <c r="A138" s="20" t="s">
        <v>111</v>
      </c>
      <c r="B138" s="31" t="n">
        <v>7480</v>
      </c>
      <c r="C138" s="22" t="n">
        <v>20520</v>
      </c>
    </row>
    <row r="139" customFormat="false" ht="16.4" hidden="false" customHeight="false" outlineLevel="0" collapsed="false">
      <c r="A139" s="20" t="s">
        <v>373</v>
      </c>
      <c r="B139" s="31" t="n">
        <v>7540</v>
      </c>
      <c r="C139" s="22" t="n">
        <v>12640</v>
      </c>
    </row>
    <row r="140" customFormat="false" ht="16.4" hidden="false" customHeight="false" outlineLevel="0" collapsed="false">
      <c r="A140" s="20" t="s">
        <v>237</v>
      </c>
      <c r="B140" s="31" t="n">
        <v>8020</v>
      </c>
      <c r="C140" s="22" t="n">
        <v>31590</v>
      </c>
    </row>
    <row r="141" customFormat="false" ht="16.4" hidden="false" customHeight="false" outlineLevel="0" collapsed="false">
      <c r="A141" s="20" t="s">
        <v>23</v>
      </c>
      <c r="B141" s="31" t="n">
        <v>8030</v>
      </c>
      <c r="C141" s="22" t="n">
        <v>11700</v>
      </c>
    </row>
    <row r="142" customFormat="false" ht="16.4" hidden="false" customHeight="false" outlineLevel="0" collapsed="false">
      <c r="A142" s="20" t="s">
        <v>321</v>
      </c>
      <c r="B142" s="31" t="n">
        <v>8040</v>
      </c>
      <c r="C142" s="22" t="n">
        <v>30550</v>
      </c>
    </row>
    <row r="143" customFormat="false" ht="16.4" hidden="false" customHeight="false" outlineLevel="0" collapsed="false">
      <c r="A143" s="20" t="s">
        <v>261</v>
      </c>
      <c r="B143" s="31" t="n">
        <v>8060</v>
      </c>
      <c r="C143" s="22" t="n">
        <v>18340</v>
      </c>
    </row>
    <row r="144" customFormat="false" ht="16.4" hidden="false" customHeight="false" outlineLevel="0" collapsed="false">
      <c r="A144" s="20" t="s">
        <v>501</v>
      </c>
      <c r="B144" s="31" t="n">
        <v>8203.71381199158</v>
      </c>
      <c r="C144" s="22" t="n">
        <v>15643.3678773104</v>
      </c>
    </row>
    <row r="145" customFormat="false" ht="16.4" hidden="false" customHeight="false" outlineLevel="0" collapsed="false">
      <c r="A145" s="20" t="s">
        <v>69</v>
      </c>
      <c r="B145" s="31" t="n">
        <v>8250</v>
      </c>
      <c r="C145" s="22" t="n">
        <v>17120</v>
      </c>
    </row>
    <row r="146" customFormat="false" ht="16.4" hidden="false" customHeight="false" outlineLevel="0" collapsed="false">
      <c r="A146" s="20" t="s">
        <v>249</v>
      </c>
      <c r="B146" s="31" t="n">
        <v>8300</v>
      </c>
      <c r="C146" s="22" t="n">
        <v>37420</v>
      </c>
    </row>
    <row r="147" customFormat="false" ht="16.4" hidden="false" customHeight="false" outlineLevel="0" collapsed="false">
      <c r="A147" s="20" t="s">
        <v>383</v>
      </c>
      <c r="B147" s="31" t="n">
        <v>8330</v>
      </c>
      <c r="C147" s="22" t="n">
        <v>15230</v>
      </c>
    </row>
    <row r="148" customFormat="false" ht="16.4" hidden="false" customHeight="false" outlineLevel="0" collapsed="false">
      <c r="A148" s="20" t="s">
        <v>503</v>
      </c>
      <c r="B148" s="31" t="n">
        <v>8490.1468982177</v>
      </c>
      <c r="C148" s="22" t="n">
        <v>16348.2008714729</v>
      </c>
    </row>
    <row r="149" customFormat="false" ht="16.4" hidden="false" customHeight="false" outlineLevel="0" collapsed="false">
      <c r="A149" s="20" t="s">
        <v>499</v>
      </c>
      <c r="B149" s="31" t="n">
        <v>8503.79249529384</v>
      </c>
      <c r="C149" s="22" t="n">
        <v>16355.6670731974</v>
      </c>
    </row>
    <row r="150" customFormat="false" ht="16.4" hidden="false" customHeight="false" outlineLevel="0" collapsed="false">
      <c r="A150" s="20" t="s">
        <v>71</v>
      </c>
      <c r="B150" s="31" t="n">
        <v>8800</v>
      </c>
      <c r="C150" s="22" t="n">
        <v>14980</v>
      </c>
    </row>
    <row r="151" customFormat="false" ht="16.4" hidden="false" customHeight="false" outlineLevel="0" collapsed="false">
      <c r="A151" s="20" t="s">
        <v>271</v>
      </c>
      <c r="B151" s="31" t="n">
        <v>9000</v>
      </c>
      <c r="C151" s="22" t="n">
        <v>26790</v>
      </c>
    </row>
    <row r="152" customFormat="false" ht="16.4" hidden="false" customHeight="false" outlineLevel="0" collapsed="false">
      <c r="A152" s="20" t="s">
        <v>459</v>
      </c>
      <c r="B152" s="31" t="n">
        <v>9038.61014189576</v>
      </c>
      <c r="C152" s="22" t="n">
        <v>16158.8101275326</v>
      </c>
    </row>
    <row r="153" customFormat="false" ht="16.4" hidden="false" customHeight="false" outlineLevel="0" collapsed="false">
      <c r="A153" s="20" t="s">
        <v>143</v>
      </c>
      <c r="B153" s="31" t="n">
        <v>9070</v>
      </c>
      <c r="C153" s="22" t="n">
        <v>37940</v>
      </c>
    </row>
    <row r="154" customFormat="false" ht="16.4" hidden="false" customHeight="false" outlineLevel="0" collapsed="false">
      <c r="A154" s="20" t="s">
        <v>239</v>
      </c>
      <c r="B154" s="31" t="n">
        <v>9120</v>
      </c>
      <c r="C154" s="22" t="n">
        <v>14990</v>
      </c>
    </row>
    <row r="155" customFormat="false" ht="16.4" hidden="false" customHeight="false" outlineLevel="0" collapsed="false">
      <c r="A155" s="20" t="s">
        <v>99</v>
      </c>
      <c r="B155" s="31" t="n">
        <v>9220</v>
      </c>
      <c r="C155" s="22" t="n">
        <v>25040</v>
      </c>
    </row>
    <row r="156" customFormat="false" ht="16.4" hidden="false" customHeight="false" outlineLevel="0" collapsed="false">
      <c r="A156" s="20" t="s">
        <v>415</v>
      </c>
      <c r="B156" s="31" t="n">
        <v>9490</v>
      </c>
      <c r="C156" s="22" t="n">
        <v>26860</v>
      </c>
    </row>
    <row r="157" customFormat="false" ht="16.4" hidden="false" customHeight="false" outlineLevel="0" collapsed="false">
      <c r="A157" s="20" t="s">
        <v>535</v>
      </c>
      <c r="B157" s="31" t="n">
        <v>9815.16812631209</v>
      </c>
      <c r="C157" s="22" t="n">
        <v>20809.9519657556</v>
      </c>
    </row>
    <row r="158" customFormat="false" ht="16.4" hidden="false" customHeight="false" outlineLevel="0" collapsed="false">
      <c r="A158" s="20" t="s">
        <v>461</v>
      </c>
      <c r="B158" s="31" t="n">
        <v>9864.36673084352</v>
      </c>
      <c r="C158" s="22" t="n">
        <v>33006.1918648894</v>
      </c>
    </row>
    <row r="159" customFormat="false" ht="16.4" hidden="false" customHeight="false" outlineLevel="0" collapsed="false">
      <c r="A159" s="20" t="s">
        <v>457</v>
      </c>
      <c r="B159" s="31" t="n">
        <v>10190.8855911383</v>
      </c>
      <c r="C159" s="22" t="n">
        <v>15109.6398764943</v>
      </c>
    </row>
    <row r="160" customFormat="false" ht="16.4" hidden="false" customHeight="false" outlineLevel="0" collapsed="false">
      <c r="A160" s="20" t="s">
        <v>433</v>
      </c>
      <c r="B160" s="31" t="n">
        <v>10230</v>
      </c>
      <c r="C160" s="22" t="n">
        <v>22810</v>
      </c>
    </row>
    <row r="161" customFormat="false" ht="16.4" hidden="false" customHeight="false" outlineLevel="0" collapsed="false">
      <c r="A161" s="20" t="s">
        <v>201</v>
      </c>
      <c r="B161" s="31" t="n">
        <v>10320</v>
      </c>
      <c r="C161" s="22" t="n">
        <v>12920</v>
      </c>
    </row>
    <row r="162" customFormat="false" ht="16.4" hidden="false" customHeight="false" outlineLevel="0" collapsed="false">
      <c r="A162" s="20" t="s">
        <v>115</v>
      </c>
      <c r="B162" s="31" t="n">
        <v>10390</v>
      </c>
      <c r="C162" s="22" t="n">
        <v>29790</v>
      </c>
    </row>
    <row r="163" customFormat="false" ht="16.4" hidden="false" customHeight="false" outlineLevel="0" collapsed="false">
      <c r="A163" s="20" t="s">
        <v>527</v>
      </c>
      <c r="B163" s="32" t="n">
        <v>10600.4626791786</v>
      </c>
      <c r="C163" s="22" t="n">
        <v>22978.1041736521</v>
      </c>
    </row>
    <row r="164" customFormat="false" ht="16.4" hidden="false" customHeight="false" outlineLevel="0" collapsed="false">
      <c r="A164" s="20" t="s">
        <v>331</v>
      </c>
      <c r="B164" s="32" t="n">
        <v>10630</v>
      </c>
      <c r="C164" s="22" t="n">
        <v>32790</v>
      </c>
    </row>
    <row r="165" customFormat="false" ht="16.4" hidden="false" customHeight="false" outlineLevel="0" collapsed="false">
      <c r="A165" s="20" t="s">
        <v>273</v>
      </c>
      <c r="B165" s="32" t="n">
        <v>10850</v>
      </c>
      <c r="C165" s="22" t="n">
        <v>19860</v>
      </c>
    </row>
    <row r="166" customFormat="false" ht="16.4" hidden="false" customHeight="false" outlineLevel="0" collapsed="false">
      <c r="A166" s="20" t="s">
        <v>203</v>
      </c>
      <c r="B166" s="32" t="n">
        <v>10990</v>
      </c>
      <c r="C166" s="22" t="n">
        <v>10950</v>
      </c>
    </row>
    <row r="167" customFormat="false" ht="16.4" hidden="false" customHeight="false" outlineLevel="0" collapsed="false">
      <c r="A167" s="20" t="s">
        <v>319</v>
      </c>
      <c r="B167" s="32" t="n">
        <v>11010</v>
      </c>
      <c r="C167" s="22" t="n">
        <v>19530</v>
      </c>
    </row>
    <row r="168" customFormat="false" ht="16.4" hidden="false" customHeight="false" outlineLevel="0" collapsed="false">
      <c r="A168" s="20" t="s">
        <v>193</v>
      </c>
      <c r="B168" s="32" t="n">
        <v>11170</v>
      </c>
      <c r="C168" s="22" t="n">
        <v>33070</v>
      </c>
    </row>
    <row r="169" customFormat="false" ht="16.4" hidden="false" customHeight="false" outlineLevel="0" collapsed="false">
      <c r="A169" s="20" t="s">
        <v>33</v>
      </c>
      <c r="B169" s="32" t="n">
        <v>11310</v>
      </c>
      <c r="C169" s="22" t="n">
        <v>22080</v>
      </c>
    </row>
    <row r="170" customFormat="false" ht="16.4" hidden="false" customHeight="false" outlineLevel="0" collapsed="false">
      <c r="A170" s="20" t="s">
        <v>365</v>
      </c>
      <c r="B170" s="32" t="n">
        <v>11340</v>
      </c>
      <c r="C170" s="22" t="n">
        <v>31980</v>
      </c>
    </row>
    <row r="171" customFormat="false" ht="16.4" hidden="false" customHeight="false" outlineLevel="0" collapsed="false">
      <c r="A171" s="20" t="s">
        <v>513</v>
      </c>
      <c r="B171" s="32" t="n">
        <v>11532.5364851393</v>
      </c>
      <c r="C171" s="22" t="n">
        <v>16876.3117537372</v>
      </c>
    </row>
    <row r="172" customFormat="false" ht="16.4" hidden="false" customHeight="false" outlineLevel="0" collapsed="false">
      <c r="A172" s="20" t="s">
        <v>159</v>
      </c>
      <c r="B172" s="32" t="n">
        <v>11850</v>
      </c>
      <c r="C172" s="22" t="n">
        <v>14320</v>
      </c>
    </row>
    <row r="173" customFormat="false" ht="16.4" hidden="false" customHeight="false" outlineLevel="0" collapsed="false">
      <c r="A173" s="20" t="s">
        <v>259</v>
      </c>
      <c r="B173" s="32" t="n">
        <v>11870</v>
      </c>
      <c r="C173" s="22" t="n">
        <v>28780</v>
      </c>
    </row>
    <row r="174" customFormat="false" ht="16.4" hidden="false" customHeight="false" outlineLevel="0" collapsed="false">
      <c r="A174" s="20" t="s">
        <v>51</v>
      </c>
      <c r="B174" s="32" t="n">
        <v>12310</v>
      </c>
      <c r="C174" s="22" t="n">
        <v>15740</v>
      </c>
    </row>
    <row r="175" customFormat="false" ht="16.4" hidden="false" customHeight="false" outlineLevel="0" collapsed="false">
      <c r="A175" s="20" t="s">
        <v>411</v>
      </c>
      <c r="B175" s="32" t="n">
        <v>13430</v>
      </c>
      <c r="C175" s="22" t="n">
        <v>26720</v>
      </c>
    </row>
    <row r="176" customFormat="false" ht="16.4" hidden="false" customHeight="false" outlineLevel="0" collapsed="false">
      <c r="A176" s="20" t="s">
        <v>357</v>
      </c>
      <c r="B176" s="32" t="n">
        <v>13540</v>
      </c>
      <c r="C176" s="22" t="n">
        <v>27630</v>
      </c>
    </row>
    <row r="177" customFormat="false" ht="16.4" hidden="false" customHeight="false" outlineLevel="0" collapsed="false">
      <c r="A177" s="20" t="s">
        <v>381</v>
      </c>
      <c r="B177" s="32" t="n">
        <v>15080</v>
      </c>
      <c r="C177" s="22" t="n">
        <v>26090</v>
      </c>
    </row>
    <row r="178" customFormat="false" ht="16.4" hidden="false" customHeight="false" outlineLevel="0" collapsed="false">
      <c r="A178" s="20" t="s">
        <v>335</v>
      </c>
      <c r="B178" s="32" t="n">
        <v>15410</v>
      </c>
      <c r="C178" s="22" t="n">
        <v>24470</v>
      </c>
    </row>
    <row r="179" customFormat="false" ht="16.4" hidden="false" customHeight="false" outlineLevel="0" collapsed="false">
      <c r="A179" s="20" t="s">
        <v>473</v>
      </c>
      <c r="B179" s="32" t="n">
        <v>15875.8035419103</v>
      </c>
      <c r="C179" s="22" t="n">
        <v>36514.6199174242</v>
      </c>
    </row>
    <row r="180" customFormat="false" ht="16.4" hidden="false" customHeight="false" outlineLevel="0" collapsed="false">
      <c r="A180" s="20" t="s">
        <v>123</v>
      </c>
      <c r="B180" s="32" t="n">
        <v>15930</v>
      </c>
      <c r="C180" s="22" t="n">
        <v>40360</v>
      </c>
    </row>
    <row r="181" customFormat="false" ht="16.4" hidden="false" customHeight="false" outlineLevel="0" collapsed="false">
      <c r="A181" s="20" t="s">
        <v>31</v>
      </c>
      <c r="B181" s="32" t="n">
        <v>15940</v>
      </c>
      <c r="C181" s="22" t="n">
        <v>21030</v>
      </c>
    </row>
    <row r="182" customFormat="false" ht="16.4" hidden="false" customHeight="false" outlineLevel="0" collapsed="false">
      <c r="A182" s="20" t="s">
        <v>265</v>
      </c>
      <c r="B182" s="32" t="n">
        <v>17670</v>
      </c>
      <c r="C182" s="22" t="n">
        <v>43240</v>
      </c>
    </row>
    <row r="183" customFormat="false" ht="16.4" hidden="false" customHeight="false" outlineLevel="0" collapsed="false">
      <c r="A183" s="20" t="s">
        <v>367</v>
      </c>
      <c r="B183" s="32" t="n">
        <v>17970</v>
      </c>
      <c r="C183" s="22" t="n">
        <v>40530</v>
      </c>
    </row>
    <row r="184" customFormat="false" ht="16.4" hidden="false" customHeight="false" outlineLevel="0" collapsed="false">
      <c r="A184" s="20" t="s">
        <v>227</v>
      </c>
      <c r="B184" s="32" t="n">
        <v>18420</v>
      </c>
      <c r="C184" s="22" t="n">
        <v>43100</v>
      </c>
    </row>
    <row r="185" customFormat="false" ht="16.4" hidden="false" customHeight="false" outlineLevel="0" collapsed="false">
      <c r="A185" s="20" t="s">
        <v>333</v>
      </c>
      <c r="B185" s="32" t="n">
        <v>18580</v>
      </c>
      <c r="C185" s="22" t="n">
        <v>35940</v>
      </c>
    </row>
    <row r="186" customFormat="false" ht="16.4" hidden="false" customHeight="false" outlineLevel="0" collapsed="false">
      <c r="A186" s="20" t="s">
        <v>121</v>
      </c>
      <c r="B186" s="32" t="n">
        <v>19470</v>
      </c>
      <c r="C186" s="22" t="n">
        <v>39850</v>
      </c>
    </row>
    <row r="187" customFormat="false" ht="16.4" hidden="false" customHeight="false" outlineLevel="0" collapsed="false">
      <c r="A187" s="20" t="s">
        <v>301</v>
      </c>
      <c r="B187" s="32" t="n">
        <v>20290</v>
      </c>
      <c r="C187" s="22" t="n">
        <v>43950</v>
      </c>
    </row>
    <row r="188" customFormat="false" ht="16.4" hidden="false" customHeight="false" outlineLevel="0" collapsed="false">
      <c r="A188" s="20" t="s">
        <v>377</v>
      </c>
      <c r="B188" s="33" t="n">
        <v>21440</v>
      </c>
      <c r="C188" s="22" t="n">
        <v>42250</v>
      </c>
    </row>
    <row r="189" customFormat="false" ht="16.4" hidden="false" customHeight="false" outlineLevel="0" collapsed="false">
      <c r="A189" s="20" t="s">
        <v>479</v>
      </c>
      <c r="B189" s="33" t="n">
        <v>22061.2179132892</v>
      </c>
      <c r="C189" s="22" t="n">
        <v>46515.2307310106</v>
      </c>
    </row>
    <row r="190" customFormat="false" ht="16.4" hidden="false" customHeight="false" outlineLevel="0" collapsed="false">
      <c r="A190" s="20" t="s">
        <v>209</v>
      </c>
      <c r="B190" s="33" t="n">
        <v>23440</v>
      </c>
      <c r="C190" s="22" t="n">
        <v>41750</v>
      </c>
    </row>
    <row r="191" customFormat="false" ht="16.4" hidden="false" customHeight="false" outlineLevel="0" collapsed="false">
      <c r="A191" s="20" t="s">
        <v>525</v>
      </c>
      <c r="B191" s="33" t="n">
        <v>24678.808499016</v>
      </c>
      <c r="C191" s="22" t="n">
        <v>46432.8544585409</v>
      </c>
    </row>
    <row r="192" customFormat="false" ht="16.4" hidden="false" customHeight="false" outlineLevel="0" collapsed="false">
      <c r="A192" s="20" t="s">
        <v>471</v>
      </c>
      <c r="B192" s="33" t="n">
        <v>25363.9346433074</v>
      </c>
      <c r="C192" s="22" t="n">
        <v>49526.8314793652</v>
      </c>
    </row>
    <row r="193" customFormat="false" ht="16.4" hidden="false" customHeight="false" outlineLevel="0" collapsed="false">
      <c r="A193" s="20" t="s">
        <v>39</v>
      </c>
      <c r="B193" s="33" t="n">
        <v>25560</v>
      </c>
      <c r="C193" s="22" t="n">
        <v>50540</v>
      </c>
    </row>
    <row r="194" customFormat="false" ht="16.4" hidden="false" customHeight="false" outlineLevel="0" collapsed="false">
      <c r="A194" s="20" t="s">
        <v>205</v>
      </c>
      <c r="B194" s="33" t="n">
        <v>26320</v>
      </c>
      <c r="C194" s="22" t="n">
        <v>69190</v>
      </c>
    </row>
    <row r="195" customFormat="false" ht="16.4" hidden="false" customHeight="false" outlineLevel="0" collapsed="false">
      <c r="A195" s="20" t="s">
        <v>155</v>
      </c>
      <c r="B195" s="33" t="n">
        <v>26510</v>
      </c>
      <c r="C195" s="22" t="n">
        <v>50400</v>
      </c>
    </row>
    <row r="196" customFormat="false" ht="16.4" hidden="false" customHeight="false" outlineLevel="0" collapsed="false">
      <c r="A196" s="20" t="s">
        <v>429</v>
      </c>
      <c r="B196" s="33" t="n">
        <v>26520</v>
      </c>
      <c r="C196" s="22" t="n">
        <v>47620</v>
      </c>
    </row>
    <row r="197" customFormat="false" ht="16.4" hidden="false" customHeight="false" outlineLevel="0" collapsed="false">
      <c r="A197" s="20" t="s">
        <v>153</v>
      </c>
      <c r="B197" s="33" t="n">
        <v>26630</v>
      </c>
      <c r="C197" s="22" t="n">
        <v>51800</v>
      </c>
    </row>
    <row r="198" customFormat="false" ht="16.4" hidden="false" customHeight="false" outlineLevel="0" collapsed="false">
      <c r="A198" s="20" t="s">
        <v>211</v>
      </c>
      <c r="B198" s="33" t="n">
        <v>26980</v>
      </c>
      <c r="C198" s="22" t="n">
        <v>45240</v>
      </c>
    </row>
    <row r="199" customFormat="false" ht="16.4" hidden="false" customHeight="false" outlineLevel="0" collapsed="false">
      <c r="A199" s="20" t="s">
        <v>531</v>
      </c>
      <c r="B199" s="33" t="n">
        <v>27023.223566336</v>
      </c>
      <c r="C199" s="22" t="n">
        <v>51475.6710407104</v>
      </c>
    </row>
    <row r="200" customFormat="false" ht="16.4" hidden="false" customHeight="false" outlineLevel="0" collapsed="false">
      <c r="A200" s="20" t="s">
        <v>165</v>
      </c>
      <c r="B200" s="33" t="n">
        <v>27060</v>
      </c>
      <c r="C200" s="22" t="n">
        <v>57410</v>
      </c>
    </row>
    <row r="201" customFormat="false" ht="16.4" hidden="false" customHeight="false" outlineLevel="0" collapsed="false">
      <c r="A201" s="20" t="s">
        <v>215</v>
      </c>
      <c r="B201" s="33" t="n">
        <v>27220</v>
      </c>
      <c r="C201" s="22" t="n">
        <v>43760</v>
      </c>
    </row>
    <row r="202" customFormat="false" ht="16.4" hidden="false" customHeight="false" outlineLevel="0" collapsed="false">
      <c r="A202" s="20" t="s">
        <v>45</v>
      </c>
      <c r="B202" s="33" t="n">
        <v>27550</v>
      </c>
      <c r="C202" s="22" t="n">
        <v>37350</v>
      </c>
    </row>
    <row r="203" customFormat="false" ht="16.4" hidden="false" customHeight="false" outlineLevel="0" collapsed="false">
      <c r="A203" s="20" t="s">
        <v>125</v>
      </c>
      <c r="B203" s="33" t="n">
        <v>28020</v>
      </c>
      <c r="C203" s="22" t="n">
        <v>62120</v>
      </c>
    </row>
    <row r="204" customFormat="false" ht="16.4" hidden="false" customHeight="false" outlineLevel="0" collapsed="false">
      <c r="A204" s="20" t="s">
        <v>485</v>
      </c>
      <c r="B204" s="33" t="n">
        <v>28140.3071795652</v>
      </c>
      <c r="C204" s="22" t="n">
        <v>52628.6800039626</v>
      </c>
    </row>
    <row r="205" customFormat="false" ht="16.4" hidden="false" customHeight="false" outlineLevel="0" collapsed="false">
      <c r="A205" s="20" t="s">
        <v>191</v>
      </c>
      <c r="B205" s="33" t="n">
        <v>28480</v>
      </c>
      <c r="C205" s="22" t="n">
        <v>65240</v>
      </c>
    </row>
    <row r="206" customFormat="false" ht="16.4" hidden="false" customHeight="false" outlineLevel="0" collapsed="false">
      <c r="A206" s="20" t="s">
        <v>55</v>
      </c>
      <c r="B206" s="33" t="n">
        <v>28510</v>
      </c>
      <c r="C206" s="22" t="n">
        <v>55370</v>
      </c>
    </row>
    <row r="207" customFormat="false" ht="16.4" hidden="false" customHeight="false" outlineLevel="0" collapsed="false">
      <c r="A207" s="20" t="s">
        <v>89</v>
      </c>
      <c r="B207" s="33" t="n">
        <v>28590</v>
      </c>
      <c r="C207" s="22" t="n">
        <v>50010</v>
      </c>
    </row>
    <row r="208" customFormat="false" ht="16.4" hidden="false" customHeight="false" outlineLevel="0" collapsed="false">
      <c r="A208" s="20" t="s">
        <v>195</v>
      </c>
      <c r="B208" s="33" t="n">
        <v>28680</v>
      </c>
      <c r="C208" s="22" t="n">
        <v>59590</v>
      </c>
    </row>
    <row r="209" customFormat="false" ht="16.4" hidden="false" customHeight="false" outlineLevel="0" collapsed="false">
      <c r="A209" s="20" t="s">
        <v>41</v>
      </c>
      <c r="B209" s="33" t="n">
        <v>29130</v>
      </c>
      <c r="C209" s="22" t="n">
        <v>58940</v>
      </c>
    </row>
    <row r="210" customFormat="false" ht="16.4" hidden="false" customHeight="false" outlineLevel="0" collapsed="false">
      <c r="A210" s="20" t="s">
        <v>393</v>
      </c>
      <c r="B210" s="33" t="n">
        <v>29650</v>
      </c>
      <c r="C210" s="22" t="n">
        <v>56670</v>
      </c>
    </row>
    <row r="211" customFormat="false" ht="16.4" hidden="false" customHeight="false" outlineLevel="0" collapsed="false">
      <c r="A211" s="20" t="s">
        <v>253</v>
      </c>
      <c r="B211" s="33" t="n">
        <v>31980</v>
      </c>
      <c r="C211" s="22" t="n">
        <v>117340</v>
      </c>
    </row>
    <row r="212" customFormat="false" ht="16.4" hidden="false" customHeight="false" outlineLevel="0" collapsed="false">
      <c r="A212" s="20" t="s">
        <v>297</v>
      </c>
      <c r="B212" s="33" t="n">
        <v>32460</v>
      </c>
      <c r="C212" s="22" t="n">
        <v>59700</v>
      </c>
    </row>
    <row r="213" customFormat="false" ht="16.4" hidden="false" customHeight="false" outlineLevel="0" collapsed="false">
      <c r="A213" s="20" t="s">
        <v>315</v>
      </c>
      <c r="B213" s="33" t="n">
        <v>34410</v>
      </c>
      <c r="C213" s="22" t="n">
        <v>26160</v>
      </c>
    </row>
    <row r="214" customFormat="false" ht="16.4" hidden="false" customHeight="false" outlineLevel="0" collapsed="false">
      <c r="A214" s="20" t="s">
        <v>521</v>
      </c>
      <c r="B214" s="33" t="n">
        <v>35998.4452888358</v>
      </c>
      <c r="C214" s="22" t="n">
        <v>64416.5214622962</v>
      </c>
    </row>
    <row r="215" customFormat="false" ht="16.4" hidden="false" customHeight="false" outlineLevel="0" collapsed="false">
      <c r="A215" s="20" t="s">
        <v>313</v>
      </c>
      <c r="B215" s="33" t="n">
        <v>36450</v>
      </c>
      <c r="C215" s="22" t="n">
        <v>70330</v>
      </c>
    </row>
    <row r="216" customFormat="false" ht="16.4" hidden="false" customHeight="false" outlineLevel="0" collapsed="false">
      <c r="A216" s="20" t="s">
        <v>431</v>
      </c>
      <c r="B216" s="33" t="n">
        <v>36800</v>
      </c>
      <c r="C216" s="22" t="n">
        <v>66060</v>
      </c>
    </row>
    <row r="217" customFormat="false" ht="16.4" hidden="false" customHeight="false" outlineLevel="0" collapsed="false">
      <c r="A217" s="20" t="s">
        <v>395</v>
      </c>
      <c r="B217" s="33" t="n">
        <v>39110</v>
      </c>
      <c r="C217" s="22" t="n">
        <v>73620</v>
      </c>
    </row>
    <row r="218" customFormat="false" ht="16.4" hidden="false" customHeight="false" outlineLevel="0" collapsed="false">
      <c r="A218" s="20" t="s">
        <v>351</v>
      </c>
      <c r="B218" s="33" t="n">
        <v>40070</v>
      </c>
      <c r="C218" s="22" t="n">
        <v>49440</v>
      </c>
    </row>
    <row r="219" customFormat="false" ht="16.4" hidden="false" customHeight="false" outlineLevel="0" collapsed="false">
      <c r="A219" s="20" t="s">
        <v>47</v>
      </c>
      <c r="B219" s="33" t="n">
        <v>41140</v>
      </c>
      <c r="C219" s="22" t="n">
        <v>44330</v>
      </c>
    </row>
    <row r="220" customFormat="false" ht="16.4" hidden="false" customHeight="false" outlineLevel="0" collapsed="false">
      <c r="A220" s="20" t="s">
        <v>361</v>
      </c>
      <c r="B220" s="33" t="n">
        <v>43570</v>
      </c>
      <c r="C220" s="22" t="n">
        <v>90320</v>
      </c>
    </row>
    <row r="221" customFormat="false" ht="16.4" hidden="false" customHeight="false" outlineLevel="0" collapsed="false">
      <c r="A221" s="20" t="s">
        <v>231</v>
      </c>
      <c r="B221" s="33" t="n">
        <v>66160</v>
      </c>
      <c r="C221" s="22" t="n">
        <v>58930</v>
      </c>
    </row>
    <row r="222" customFormat="false" ht="16.4" hidden="false" customHeight="false" outlineLevel="0" collapsed="false">
      <c r="A222" s="20" t="s">
        <v>75</v>
      </c>
      <c r="B222" s="33" t="n">
        <v>66440</v>
      </c>
      <c r="C222" s="22" t="n">
        <v>66460</v>
      </c>
    </row>
    <row r="223" customFormat="false" ht="16.4" hidden="false" customHeight="false" outlineLevel="0" collapsed="false">
      <c r="A223" s="20" t="s">
        <v>337</v>
      </c>
      <c r="B223" s="33" t="n">
        <v>89190</v>
      </c>
      <c r="C223" s="22" t="n">
        <v>91500</v>
      </c>
    </row>
    <row r="224" customFormat="false" ht="16.4" hidden="false" customHeight="false" outlineLevel="0" collapsed="false">
      <c r="A224" s="20" t="s">
        <v>427</v>
      </c>
      <c r="B224" s="33" t="n">
        <v>103160</v>
      </c>
      <c r="C224" s="22" t="n">
        <v>70300</v>
      </c>
      <c r="I224" s="34"/>
      <c r="J224" s="34"/>
      <c r="K224" s="34"/>
    </row>
    <row r="225" customFormat="false" ht="14.25" hidden="false" customHeight="false" outlineLevel="0" collapsed="false">
      <c r="I225" s="34"/>
      <c r="J225" s="34"/>
      <c r="K225" s="34"/>
    </row>
    <row r="226" customFormat="false" ht="14.25" hidden="false" customHeight="false" outlineLevel="0" collapsed="false">
      <c r="I226" s="34"/>
      <c r="J226" s="34"/>
      <c r="K226" s="34"/>
    </row>
    <row r="227" customFormat="false" ht="14.25" hidden="false" customHeight="false" outlineLevel="0" collapsed="false">
      <c r="I227" s="34"/>
      <c r="J227" s="34"/>
      <c r="K227" s="34"/>
    </row>
    <row r="228" customFormat="false" ht="14.25" hidden="false" customHeight="false" outlineLevel="0" collapsed="false">
      <c r="I228" s="34"/>
      <c r="J228" s="34"/>
      <c r="K228" s="34"/>
    </row>
    <row r="229" customFormat="false" ht="14.25" hidden="false" customHeight="false" outlineLevel="0" collapsed="false">
      <c r="I229" s="34"/>
      <c r="J229" s="34"/>
      <c r="K229" s="34"/>
    </row>
    <row r="230" customFormat="false" ht="14.25" hidden="false" customHeight="false" outlineLevel="0" collapsed="false">
      <c r="I230" s="34"/>
      <c r="J230" s="34"/>
      <c r="K230" s="34"/>
    </row>
    <row r="231" customFormat="false" ht="14.25" hidden="false" customHeight="false" outlineLevel="0" collapsed="false">
      <c r="I231" s="34"/>
      <c r="J231" s="34"/>
      <c r="K231" s="34"/>
    </row>
    <row r="232" customFormat="false" ht="14.25" hidden="false" customHeight="false" outlineLevel="0" collapsed="false">
      <c r="I232" s="34"/>
      <c r="J232" s="34"/>
      <c r="K232" s="34"/>
    </row>
    <row r="233" customFormat="false" ht="14.25" hidden="false" customHeight="false" outlineLevel="0" collapsed="false">
      <c r="I233" s="34"/>
      <c r="J233" s="34"/>
      <c r="K233" s="34"/>
    </row>
    <row r="234" customFormat="false" ht="14.25" hidden="false" customHeight="false" outlineLevel="0" collapsed="false">
      <c r="I234" s="34"/>
      <c r="J234" s="34"/>
      <c r="K234" s="34"/>
    </row>
    <row r="235" customFormat="false" ht="14.25" hidden="false" customHeight="false" outlineLevel="0" collapsed="false">
      <c r="I235" s="34"/>
      <c r="J235" s="34"/>
      <c r="K235" s="34"/>
    </row>
    <row r="236" customFormat="false" ht="14.25" hidden="false" customHeight="false" outlineLevel="0" collapsed="false">
      <c r="I236" s="34"/>
      <c r="J236" s="34"/>
      <c r="K236" s="34"/>
    </row>
    <row r="237" customFormat="false" ht="14.25" hidden="false" customHeight="false" outlineLevel="0" collapsed="false">
      <c r="I237" s="34"/>
      <c r="J237" s="34"/>
      <c r="K237" s="34"/>
    </row>
    <row r="238" customFormat="false" ht="14.25" hidden="false" customHeight="false" outlineLevel="0" collapsed="false">
      <c r="I238" s="34"/>
      <c r="J238" s="34"/>
      <c r="K238" s="34"/>
    </row>
    <row r="239" customFormat="false" ht="14.25" hidden="false" customHeight="false" outlineLevel="0" collapsed="false">
      <c r="I239" s="34"/>
      <c r="J239" s="34"/>
      <c r="K239" s="34"/>
    </row>
    <row r="240" customFormat="false" ht="14.25" hidden="false" customHeight="false" outlineLevel="0" collapsed="false">
      <c r="I240" s="34"/>
      <c r="J240" s="34"/>
      <c r="K240" s="34"/>
    </row>
    <row r="241" customFormat="false" ht="14.25" hidden="false" customHeight="false" outlineLevel="0" collapsed="false">
      <c r="I241" s="34"/>
      <c r="J241" s="34"/>
      <c r="K241" s="34"/>
    </row>
    <row r="242" customFormat="false" ht="14.25" hidden="false" customHeight="false" outlineLevel="0" collapsed="false">
      <c r="I242" s="34"/>
      <c r="J242" s="34"/>
      <c r="K242" s="34"/>
    </row>
    <row r="243" customFormat="false" ht="14.25" hidden="false" customHeight="false" outlineLevel="0" collapsed="false">
      <c r="I243" s="34"/>
      <c r="J243" s="34"/>
      <c r="K243" s="34"/>
    </row>
    <row r="244" customFormat="false" ht="14.25" hidden="false" customHeight="false" outlineLevel="0" collapsed="false">
      <c r="I244" s="34"/>
      <c r="J244" s="34"/>
      <c r="K244" s="34"/>
    </row>
    <row r="245" customFormat="false" ht="14.25" hidden="false" customHeight="false" outlineLevel="0" collapsed="false">
      <c r="I245" s="34"/>
      <c r="J245" s="34"/>
      <c r="K245" s="34"/>
    </row>
    <row r="246" customFormat="false" ht="14.25" hidden="false" customHeight="false" outlineLevel="0" collapsed="false">
      <c r="I246" s="34"/>
      <c r="J246" s="34"/>
      <c r="K246" s="34"/>
    </row>
    <row r="247" customFormat="false" ht="14.25" hidden="false" customHeight="false" outlineLevel="0" collapsed="false">
      <c r="I247" s="34"/>
      <c r="J247" s="34"/>
      <c r="K247" s="34"/>
    </row>
    <row r="248" customFormat="false" ht="14.25" hidden="false" customHeight="false" outlineLevel="0" collapsed="false">
      <c r="I248" s="34"/>
      <c r="J248" s="34"/>
      <c r="K248" s="34"/>
    </row>
    <row r="249" customFormat="false" ht="14.25" hidden="false" customHeight="false" outlineLevel="0" collapsed="false">
      <c r="I249" s="34"/>
      <c r="J249" s="34"/>
      <c r="K249" s="34"/>
    </row>
    <row r="250" customFormat="false" ht="14.25" hidden="false" customHeight="false" outlineLevel="0" collapsed="false">
      <c r="I250" s="34"/>
      <c r="J250" s="34"/>
      <c r="K250" s="34"/>
    </row>
    <row r="251" customFormat="false" ht="14.25" hidden="false" customHeight="false" outlineLevel="0" collapsed="false">
      <c r="I251" s="34"/>
      <c r="J251" s="34"/>
      <c r="K251" s="34"/>
    </row>
    <row r="252" customFormat="false" ht="14.25" hidden="false" customHeight="false" outlineLevel="0" collapsed="false">
      <c r="I252" s="34"/>
      <c r="J252" s="34"/>
      <c r="K252" s="34"/>
    </row>
    <row r="253" customFormat="false" ht="14.25" hidden="false" customHeight="false" outlineLevel="0" collapsed="false">
      <c r="I253" s="34"/>
      <c r="J253" s="34"/>
      <c r="K253" s="34"/>
    </row>
    <row r="254" customFormat="false" ht="14.25" hidden="false" customHeight="false" outlineLevel="0" collapsed="false">
      <c r="I254" s="34"/>
      <c r="J254" s="34"/>
      <c r="K254" s="34"/>
    </row>
    <row r="255" customFormat="false" ht="14.25" hidden="false" customHeight="false" outlineLevel="0" collapsed="false">
      <c r="I255" s="34"/>
      <c r="J255" s="34"/>
      <c r="K255" s="34"/>
    </row>
    <row r="256" customFormat="false" ht="14.25" hidden="false" customHeight="false" outlineLevel="0" collapsed="false">
      <c r="I256" s="34"/>
      <c r="J256" s="34"/>
      <c r="K256" s="34"/>
    </row>
    <row r="257" customFormat="false" ht="14.25" hidden="false" customHeight="false" outlineLevel="0" collapsed="false">
      <c r="I257" s="34"/>
      <c r="J257" s="34"/>
      <c r="K257" s="34"/>
    </row>
    <row r="258" customFormat="false" ht="14.25" hidden="false" customHeight="false" outlineLevel="0" collapsed="false">
      <c r="I258" s="34"/>
      <c r="J258" s="34"/>
      <c r="K258" s="34"/>
    </row>
    <row r="259" customFormat="false" ht="14.25" hidden="false" customHeight="false" outlineLevel="0" collapsed="false">
      <c r="I259" s="34"/>
      <c r="J259" s="34"/>
      <c r="K259" s="34"/>
    </row>
    <row r="260" customFormat="false" ht="14.25" hidden="false" customHeight="false" outlineLevel="0" collapsed="false">
      <c r="I260" s="34"/>
      <c r="J260" s="34"/>
      <c r="K260" s="34"/>
    </row>
    <row r="261" customFormat="false" ht="14.25" hidden="false" customHeight="false" outlineLevel="0" collapsed="false">
      <c r="I261" s="34"/>
      <c r="J261" s="34"/>
      <c r="K261" s="34"/>
    </row>
    <row r="262" customFormat="false" ht="14.25" hidden="false" customHeight="false" outlineLevel="0" collapsed="false">
      <c r="I262" s="34"/>
      <c r="J262" s="34"/>
      <c r="K262" s="34"/>
    </row>
    <row r="263" customFormat="false" ht="14.25" hidden="false" customHeight="false" outlineLevel="0" collapsed="false">
      <c r="I263" s="34"/>
      <c r="J263" s="34"/>
      <c r="K263" s="34"/>
    </row>
    <row r="264" customFormat="false" ht="14.25" hidden="false" customHeight="false" outlineLevel="0" collapsed="false">
      <c r="I264" s="34"/>
      <c r="J264" s="34"/>
      <c r="K264" s="34"/>
    </row>
    <row r="265" customFormat="false" ht="14.25" hidden="false" customHeight="false" outlineLevel="0" collapsed="false">
      <c r="I265" s="34"/>
      <c r="J265" s="34"/>
      <c r="K265" s="34"/>
    </row>
    <row r="266" customFormat="false" ht="14.25" hidden="false" customHeight="false" outlineLevel="0" collapsed="false">
      <c r="I266" s="34"/>
      <c r="J266" s="34"/>
      <c r="K266" s="34"/>
    </row>
    <row r="267" customFormat="false" ht="14.25" hidden="false" customHeight="false" outlineLevel="0" collapsed="false">
      <c r="I267" s="34"/>
      <c r="J267" s="34"/>
      <c r="K267" s="34"/>
    </row>
    <row r="268" customFormat="false" ht="14.25" hidden="false" customHeight="false" outlineLevel="0" collapsed="false">
      <c r="I268" s="34"/>
      <c r="J268" s="34"/>
      <c r="K268" s="34"/>
    </row>
    <row r="269" customFormat="false" ht="14.25" hidden="false" customHeight="false" outlineLevel="0" collapsed="false">
      <c r="I269" s="34"/>
      <c r="J269" s="34"/>
      <c r="K269" s="34"/>
    </row>
    <row r="270" customFormat="false" ht="14.25" hidden="false" customHeight="false" outlineLevel="0" collapsed="false">
      <c r="I270" s="34"/>
      <c r="J270" s="34"/>
      <c r="K270" s="34"/>
    </row>
    <row r="271" customFormat="false" ht="14.25" hidden="false" customHeight="false" outlineLevel="0" collapsed="false">
      <c r="I271" s="34"/>
      <c r="J271" s="34"/>
      <c r="K271" s="34"/>
    </row>
    <row r="272" customFormat="false" ht="14.25" hidden="false" customHeight="false" outlineLevel="0" collapsed="false">
      <c r="I272" s="34"/>
      <c r="J272" s="34"/>
      <c r="K272" s="34"/>
    </row>
    <row r="273" customFormat="false" ht="14.25" hidden="false" customHeight="false" outlineLevel="0" collapsed="false">
      <c r="I273" s="34"/>
      <c r="J273" s="34"/>
      <c r="K273" s="34"/>
    </row>
    <row r="274" customFormat="false" ht="14.25" hidden="false" customHeight="false" outlineLevel="0" collapsed="false">
      <c r="I274" s="34"/>
      <c r="J274" s="34"/>
      <c r="K274" s="34"/>
    </row>
    <row r="275" customFormat="false" ht="14.25" hidden="false" customHeight="false" outlineLevel="0" collapsed="false">
      <c r="I275" s="34"/>
      <c r="J275" s="34"/>
      <c r="K275" s="34"/>
    </row>
    <row r="276" customFormat="false" ht="14.25" hidden="false" customHeight="false" outlineLevel="0" collapsed="false">
      <c r="I276" s="34"/>
      <c r="J276" s="34"/>
      <c r="K276" s="34"/>
    </row>
    <row r="277" customFormat="false" ht="14.25" hidden="false" customHeight="false" outlineLevel="0" collapsed="false">
      <c r="I277" s="34"/>
      <c r="J277" s="34"/>
      <c r="K277" s="34"/>
    </row>
    <row r="278" customFormat="false" ht="14.25" hidden="false" customHeight="false" outlineLevel="0" collapsed="false">
      <c r="I278" s="34"/>
      <c r="J278" s="34"/>
      <c r="K278" s="34"/>
    </row>
    <row r="279" customFormat="false" ht="14.25" hidden="false" customHeight="false" outlineLevel="0" collapsed="false">
      <c r="I279" s="34"/>
      <c r="J279" s="34"/>
      <c r="K279" s="34"/>
    </row>
    <row r="280" customFormat="false" ht="14.25" hidden="false" customHeight="false" outlineLevel="0" collapsed="false">
      <c r="I280" s="34"/>
      <c r="J280" s="34"/>
      <c r="K280" s="34"/>
    </row>
    <row r="281" customFormat="false" ht="14.25" hidden="false" customHeight="false" outlineLevel="0" collapsed="false">
      <c r="I281" s="34"/>
      <c r="J281" s="34"/>
      <c r="K281" s="34"/>
    </row>
    <row r="282" customFormat="false" ht="14.25" hidden="false" customHeight="false" outlineLevel="0" collapsed="false">
      <c r="I282" s="34"/>
      <c r="J282" s="34"/>
      <c r="K282" s="34"/>
    </row>
    <row r="283" customFormat="false" ht="14.25" hidden="false" customHeight="false" outlineLevel="0" collapsed="false">
      <c r="I283" s="34"/>
      <c r="J283" s="34"/>
      <c r="K283" s="34"/>
    </row>
    <row r="284" customFormat="false" ht="14.25" hidden="false" customHeight="false" outlineLevel="0" collapsed="false">
      <c r="I284" s="34"/>
      <c r="J284" s="34"/>
      <c r="K284" s="34"/>
    </row>
    <row r="285" customFormat="false" ht="14.25" hidden="false" customHeight="false" outlineLevel="0" collapsed="false">
      <c r="I285" s="34"/>
      <c r="J285" s="34"/>
      <c r="K285" s="34"/>
    </row>
    <row r="286" customFormat="false" ht="14.25" hidden="false" customHeight="false" outlineLevel="0" collapsed="false">
      <c r="I286" s="34"/>
      <c r="J286" s="34"/>
      <c r="K286" s="34"/>
    </row>
    <row r="287" customFormat="false" ht="14.25" hidden="false" customHeight="false" outlineLevel="0" collapsed="false">
      <c r="I287" s="34"/>
      <c r="J287" s="34"/>
      <c r="K287" s="34"/>
    </row>
    <row r="288" customFormat="false" ht="14.25" hidden="false" customHeight="false" outlineLevel="0" collapsed="false">
      <c r="I288" s="34"/>
      <c r="J288" s="34"/>
      <c r="K288" s="34"/>
    </row>
    <row r="289" customFormat="false" ht="14.25" hidden="false" customHeight="false" outlineLevel="0" collapsed="false">
      <c r="I289" s="34"/>
      <c r="J289" s="34"/>
      <c r="K289" s="34"/>
    </row>
    <row r="290" customFormat="false" ht="14.25" hidden="false" customHeight="false" outlineLevel="0" collapsed="false">
      <c r="I290" s="34"/>
      <c r="J290" s="34"/>
      <c r="K290" s="34"/>
    </row>
    <row r="291" customFormat="false" ht="14.25" hidden="false" customHeight="false" outlineLevel="0" collapsed="false">
      <c r="I291" s="34"/>
      <c r="J291" s="34"/>
      <c r="K291" s="34"/>
    </row>
    <row r="292" customFormat="false" ht="14.25" hidden="false" customHeight="false" outlineLevel="0" collapsed="false">
      <c r="I292" s="34"/>
      <c r="J292" s="34"/>
      <c r="K292" s="34"/>
    </row>
    <row r="293" customFormat="false" ht="14.25" hidden="false" customHeight="false" outlineLevel="0" collapsed="false">
      <c r="I293" s="34"/>
      <c r="J293" s="34"/>
      <c r="K293" s="34"/>
    </row>
    <row r="294" customFormat="false" ht="14.25" hidden="false" customHeight="false" outlineLevel="0" collapsed="false">
      <c r="I294" s="34"/>
      <c r="J294" s="34"/>
      <c r="K294" s="34"/>
    </row>
    <row r="295" customFormat="false" ht="14.25" hidden="false" customHeight="false" outlineLevel="0" collapsed="false">
      <c r="I295" s="34"/>
      <c r="J295" s="34"/>
      <c r="K295" s="34"/>
    </row>
    <row r="296" customFormat="false" ht="14.25" hidden="false" customHeight="false" outlineLevel="0" collapsed="false">
      <c r="I296" s="34"/>
      <c r="J296" s="34"/>
      <c r="K296" s="34"/>
    </row>
    <row r="297" customFormat="false" ht="14.25" hidden="false" customHeight="false" outlineLevel="0" collapsed="false">
      <c r="I297" s="34"/>
      <c r="J297" s="34"/>
      <c r="K297" s="34"/>
    </row>
    <row r="298" customFormat="false" ht="14.25" hidden="false" customHeight="false" outlineLevel="0" collapsed="false">
      <c r="I298" s="34"/>
      <c r="J298" s="34"/>
      <c r="K298" s="34"/>
    </row>
    <row r="299" customFormat="false" ht="14.25" hidden="false" customHeight="false" outlineLevel="0" collapsed="false">
      <c r="I299" s="34"/>
      <c r="J299" s="34"/>
      <c r="K299" s="34"/>
    </row>
    <row r="300" customFormat="false" ht="14.25" hidden="false" customHeight="false" outlineLevel="0" collapsed="false">
      <c r="I300" s="34"/>
      <c r="J300" s="34"/>
      <c r="K300" s="34"/>
    </row>
    <row r="301" customFormat="false" ht="14.25" hidden="false" customHeight="false" outlineLevel="0" collapsed="false">
      <c r="I301" s="34"/>
      <c r="J301" s="34"/>
      <c r="K301" s="34"/>
    </row>
    <row r="302" customFormat="false" ht="14.25" hidden="false" customHeight="false" outlineLevel="0" collapsed="false">
      <c r="I302" s="34"/>
      <c r="J302" s="34"/>
      <c r="K302" s="34"/>
    </row>
    <row r="303" customFormat="false" ht="14.25" hidden="false" customHeight="false" outlineLevel="0" collapsed="false">
      <c r="I303" s="34"/>
      <c r="J303" s="34"/>
      <c r="K303" s="34"/>
    </row>
    <row r="304" customFormat="false" ht="14.25" hidden="false" customHeight="false" outlineLevel="0" collapsed="false">
      <c r="I304" s="34"/>
      <c r="J304" s="34"/>
      <c r="K304" s="34"/>
    </row>
    <row r="305" customFormat="false" ht="14.25" hidden="false" customHeight="false" outlineLevel="0" collapsed="false">
      <c r="I305" s="34"/>
      <c r="J305" s="34"/>
      <c r="K305" s="34"/>
    </row>
    <row r="306" customFormat="false" ht="14.25" hidden="false" customHeight="false" outlineLevel="0" collapsed="false">
      <c r="I306" s="34"/>
      <c r="J306" s="34"/>
      <c r="K306" s="34"/>
    </row>
    <row r="307" customFormat="false" ht="14.25" hidden="false" customHeight="false" outlineLevel="0" collapsed="false">
      <c r="I307" s="34"/>
      <c r="J307" s="34"/>
      <c r="K307" s="34"/>
    </row>
    <row r="308" customFormat="false" ht="14.25" hidden="false" customHeight="false" outlineLevel="0" collapsed="false">
      <c r="I308" s="34"/>
      <c r="J308" s="34"/>
      <c r="K308" s="34"/>
    </row>
    <row r="309" customFormat="false" ht="14.25" hidden="false" customHeight="false" outlineLevel="0" collapsed="false">
      <c r="I309" s="34"/>
      <c r="J309" s="34"/>
      <c r="K309" s="34"/>
    </row>
    <row r="310" customFormat="false" ht="14.25" hidden="false" customHeight="false" outlineLevel="0" collapsed="false">
      <c r="I310" s="34"/>
      <c r="J310" s="34"/>
      <c r="K310" s="34"/>
    </row>
    <row r="311" customFormat="false" ht="14.25" hidden="false" customHeight="false" outlineLevel="0" collapsed="false">
      <c r="I311" s="34"/>
      <c r="J311" s="34"/>
      <c r="K311" s="34"/>
    </row>
    <row r="312" customFormat="false" ht="14.25" hidden="false" customHeight="false" outlineLevel="0" collapsed="false">
      <c r="I312" s="34"/>
      <c r="J312" s="34"/>
      <c r="K312" s="34"/>
    </row>
    <row r="313" customFormat="false" ht="14.25" hidden="false" customHeight="false" outlineLevel="0" collapsed="false">
      <c r="I313" s="34"/>
      <c r="J313" s="34"/>
      <c r="K313" s="34"/>
    </row>
    <row r="314" customFormat="false" ht="14.25" hidden="false" customHeight="false" outlineLevel="0" collapsed="false">
      <c r="I314" s="34"/>
      <c r="J314" s="34"/>
      <c r="K314" s="34"/>
    </row>
    <row r="315" customFormat="false" ht="14.25" hidden="false" customHeight="false" outlineLevel="0" collapsed="false">
      <c r="I315" s="34"/>
      <c r="J315" s="34"/>
      <c r="K315" s="34"/>
    </row>
    <row r="316" customFormat="false" ht="14.25" hidden="false" customHeight="false" outlineLevel="0" collapsed="false">
      <c r="I316" s="34"/>
      <c r="J316" s="34"/>
      <c r="K316" s="34"/>
    </row>
    <row r="317" customFormat="false" ht="14.25" hidden="false" customHeight="false" outlineLevel="0" collapsed="false">
      <c r="I317" s="34"/>
      <c r="J317" s="34"/>
      <c r="K317" s="34"/>
    </row>
    <row r="318" customFormat="false" ht="14.25" hidden="false" customHeight="false" outlineLevel="0" collapsed="false">
      <c r="I318" s="34"/>
      <c r="J318" s="34"/>
      <c r="K318" s="34"/>
    </row>
    <row r="319" customFormat="false" ht="14.25" hidden="false" customHeight="false" outlineLevel="0" collapsed="false">
      <c r="I319" s="34"/>
      <c r="J319" s="34"/>
      <c r="K319" s="34"/>
    </row>
    <row r="320" customFormat="false" ht="14.25" hidden="false" customHeight="false" outlineLevel="0" collapsed="false">
      <c r="I320" s="34"/>
      <c r="J320" s="34"/>
      <c r="K320" s="34"/>
    </row>
    <row r="321" customFormat="false" ht="14.25" hidden="false" customHeight="false" outlineLevel="0" collapsed="false">
      <c r="I321" s="34"/>
      <c r="J321" s="34"/>
      <c r="K321" s="34"/>
    </row>
    <row r="322" customFormat="false" ht="14.25" hidden="false" customHeight="false" outlineLevel="0" collapsed="false">
      <c r="I322" s="34"/>
      <c r="J322" s="34"/>
      <c r="K322" s="34"/>
    </row>
    <row r="323" customFormat="false" ht="14.25" hidden="false" customHeight="false" outlineLevel="0" collapsed="false">
      <c r="I323" s="34"/>
      <c r="J323" s="34"/>
      <c r="K323" s="34"/>
    </row>
    <row r="324" customFormat="false" ht="14.25" hidden="false" customHeight="false" outlineLevel="0" collapsed="false">
      <c r="I324" s="34"/>
      <c r="J324" s="34"/>
      <c r="K324" s="34"/>
    </row>
    <row r="325" customFormat="false" ht="14.25" hidden="false" customHeight="false" outlineLevel="0" collapsed="false">
      <c r="I325" s="34"/>
      <c r="J325" s="34"/>
      <c r="K325" s="34"/>
    </row>
    <row r="326" customFormat="false" ht="14.25" hidden="false" customHeight="false" outlineLevel="0" collapsed="false">
      <c r="I326" s="34"/>
      <c r="J326" s="34"/>
      <c r="K326" s="34"/>
    </row>
    <row r="327" customFormat="false" ht="14.25" hidden="false" customHeight="false" outlineLevel="0" collapsed="false">
      <c r="I327" s="34"/>
      <c r="J327" s="34"/>
      <c r="K327" s="34"/>
    </row>
    <row r="328" customFormat="false" ht="14.25" hidden="false" customHeight="false" outlineLevel="0" collapsed="false">
      <c r="I328" s="34"/>
      <c r="J328" s="34"/>
      <c r="K328" s="34"/>
    </row>
    <row r="329" customFormat="false" ht="14.25" hidden="false" customHeight="false" outlineLevel="0" collapsed="false">
      <c r="I329" s="34"/>
      <c r="J329" s="34"/>
      <c r="K329" s="34"/>
    </row>
    <row r="330" customFormat="false" ht="14.25" hidden="false" customHeight="false" outlineLevel="0" collapsed="false">
      <c r="I330" s="34"/>
      <c r="J330" s="34"/>
      <c r="K330" s="34"/>
    </row>
    <row r="331" customFormat="false" ht="14.25" hidden="false" customHeight="false" outlineLevel="0" collapsed="false">
      <c r="I331" s="34"/>
      <c r="J331" s="34"/>
      <c r="K331" s="34"/>
    </row>
    <row r="332" customFormat="false" ht="14.25" hidden="false" customHeight="false" outlineLevel="0" collapsed="false">
      <c r="I332" s="34"/>
      <c r="J332" s="34"/>
      <c r="K332" s="34"/>
    </row>
    <row r="333" customFormat="false" ht="14.25" hidden="false" customHeight="false" outlineLevel="0" collapsed="false">
      <c r="I333" s="34"/>
      <c r="J333" s="34"/>
      <c r="K333" s="34"/>
    </row>
    <row r="334" customFormat="false" ht="14.25" hidden="false" customHeight="false" outlineLevel="0" collapsed="false">
      <c r="I334" s="34"/>
      <c r="J334" s="34"/>
      <c r="K334" s="34"/>
    </row>
    <row r="335" customFormat="false" ht="14.25" hidden="false" customHeight="false" outlineLevel="0" collapsed="false">
      <c r="I335" s="34"/>
      <c r="J335" s="34"/>
      <c r="K335" s="34"/>
    </row>
    <row r="336" customFormat="false" ht="14.25" hidden="false" customHeight="false" outlineLevel="0" collapsed="false">
      <c r="I336" s="34"/>
      <c r="J336" s="34"/>
      <c r="K336" s="34"/>
    </row>
    <row r="337" customFormat="false" ht="14.25" hidden="false" customHeight="false" outlineLevel="0" collapsed="false">
      <c r="I337" s="34"/>
      <c r="J337" s="34"/>
      <c r="K337" s="34"/>
    </row>
    <row r="338" customFormat="false" ht="14.25" hidden="false" customHeight="false" outlineLevel="0" collapsed="false">
      <c r="I338" s="34"/>
      <c r="J338" s="34"/>
      <c r="K338" s="34"/>
    </row>
    <row r="339" customFormat="false" ht="14.25" hidden="false" customHeight="false" outlineLevel="0" collapsed="false">
      <c r="I339" s="34"/>
      <c r="J339" s="34"/>
      <c r="K339" s="34"/>
    </row>
    <row r="340" customFormat="false" ht="14.25" hidden="false" customHeight="false" outlineLevel="0" collapsed="false">
      <c r="I340" s="34"/>
      <c r="J340" s="34"/>
      <c r="K340" s="34"/>
    </row>
    <row r="341" customFormat="false" ht="14.25" hidden="false" customHeight="false" outlineLevel="0" collapsed="false">
      <c r="I341" s="34"/>
      <c r="J341" s="34"/>
      <c r="K341" s="34"/>
    </row>
    <row r="342" customFormat="false" ht="14.25" hidden="false" customHeight="false" outlineLevel="0" collapsed="false">
      <c r="I342" s="34"/>
      <c r="J342" s="34"/>
      <c r="K342" s="34"/>
    </row>
    <row r="343" customFormat="false" ht="14.25" hidden="false" customHeight="false" outlineLevel="0" collapsed="false">
      <c r="I343" s="34"/>
      <c r="J343" s="34"/>
      <c r="K343" s="34"/>
    </row>
    <row r="344" customFormat="false" ht="14.25" hidden="false" customHeight="false" outlineLevel="0" collapsed="false">
      <c r="I344" s="34"/>
      <c r="J344" s="34"/>
      <c r="K344" s="34"/>
    </row>
    <row r="345" customFormat="false" ht="14.25" hidden="false" customHeight="false" outlineLevel="0" collapsed="false">
      <c r="I345" s="34"/>
      <c r="J345" s="34"/>
      <c r="K345" s="34"/>
    </row>
    <row r="346" customFormat="false" ht="14.25" hidden="false" customHeight="false" outlineLevel="0" collapsed="false">
      <c r="I346" s="34"/>
      <c r="J346" s="34"/>
      <c r="K346" s="34"/>
    </row>
    <row r="347" customFormat="false" ht="14.25" hidden="false" customHeight="false" outlineLevel="0" collapsed="false">
      <c r="I347" s="34"/>
      <c r="J347" s="34"/>
      <c r="K347" s="34"/>
    </row>
    <row r="348" customFormat="false" ht="14.25" hidden="false" customHeight="false" outlineLevel="0" collapsed="false">
      <c r="I348" s="34"/>
      <c r="J348" s="34"/>
      <c r="K348" s="34"/>
    </row>
    <row r="349" customFormat="false" ht="14.25" hidden="false" customHeight="false" outlineLevel="0" collapsed="false">
      <c r="I349" s="34"/>
      <c r="J349" s="34"/>
      <c r="K349" s="34"/>
    </row>
    <row r="350" customFormat="false" ht="14.25" hidden="false" customHeight="false" outlineLevel="0" collapsed="false">
      <c r="I350" s="34"/>
      <c r="J350" s="34"/>
      <c r="K350" s="34"/>
    </row>
    <row r="351" customFormat="false" ht="14.25" hidden="false" customHeight="false" outlineLevel="0" collapsed="false">
      <c r="I351" s="34"/>
      <c r="J351" s="34"/>
      <c r="K351" s="34"/>
    </row>
    <row r="352" customFormat="false" ht="14.25" hidden="false" customHeight="false" outlineLevel="0" collapsed="false">
      <c r="I352" s="34"/>
      <c r="J352" s="34"/>
      <c r="K352" s="34"/>
    </row>
    <row r="353" customFormat="false" ht="14.25" hidden="false" customHeight="false" outlineLevel="0" collapsed="false">
      <c r="I353" s="34"/>
      <c r="J353" s="34"/>
      <c r="K353" s="34"/>
    </row>
    <row r="354" customFormat="false" ht="14.25" hidden="false" customHeight="false" outlineLevel="0" collapsed="false">
      <c r="I354" s="34"/>
      <c r="J354" s="34"/>
      <c r="K354" s="34"/>
    </row>
    <row r="355" customFormat="false" ht="14.25" hidden="false" customHeight="false" outlineLevel="0" collapsed="false">
      <c r="I355" s="34"/>
      <c r="J355" s="34"/>
      <c r="K355" s="34"/>
    </row>
    <row r="356" customFormat="false" ht="14.25" hidden="false" customHeight="false" outlineLevel="0" collapsed="false">
      <c r="I356" s="34"/>
      <c r="J356" s="34"/>
      <c r="K356" s="34"/>
    </row>
    <row r="357" customFormat="false" ht="14.25" hidden="false" customHeight="false" outlineLevel="0" collapsed="false">
      <c r="I357" s="34"/>
      <c r="J357" s="34"/>
      <c r="K357" s="34"/>
    </row>
    <row r="358" customFormat="false" ht="14.25" hidden="false" customHeight="false" outlineLevel="0" collapsed="false">
      <c r="I358" s="34"/>
      <c r="J358" s="34"/>
      <c r="K358" s="34"/>
    </row>
    <row r="359" customFormat="false" ht="14.25" hidden="false" customHeight="false" outlineLevel="0" collapsed="false">
      <c r="I359" s="34"/>
      <c r="J359" s="34"/>
      <c r="K359" s="34"/>
    </row>
    <row r="360" customFormat="false" ht="14.25" hidden="false" customHeight="false" outlineLevel="0" collapsed="false">
      <c r="I360" s="34"/>
      <c r="J360" s="34"/>
      <c r="K360" s="34"/>
    </row>
    <row r="361" customFormat="false" ht="14.25" hidden="false" customHeight="false" outlineLevel="0" collapsed="false">
      <c r="I361" s="34"/>
      <c r="J361" s="34"/>
      <c r="K361" s="34"/>
    </row>
    <row r="362" customFormat="false" ht="14.25" hidden="false" customHeight="false" outlineLevel="0" collapsed="false">
      <c r="I362" s="34"/>
      <c r="J362" s="34"/>
      <c r="K362" s="34"/>
    </row>
    <row r="363" customFormat="false" ht="14.25" hidden="false" customHeight="false" outlineLevel="0" collapsed="false">
      <c r="I363" s="34"/>
      <c r="J363" s="34"/>
      <c r="K363" s="34"/>
    </row>
    <row r="364" customFormat="false" ht="14.25" hidden="false" customHeight="false" outlineLevel="0" collapsed="false">
      <c r="I364" s="34"/>
      <c r="J364" s="34"/>
      <c r="K364" s="34"/>
    </row>
    <row r="365" customFormat="false" ht="14.25" hidden="false" customHeight="false" outlineLevel="0" collapsed="false">
      <c r="I365" s="34"/>
      <c r="J365" s="34"/>
      <c r="K365" s="34"/>
    </row>
    <row r="366" customFormat="false" ht="14.25" hidden="false" customHeight="false" outlineLevel="0" collapsed="false">
      <c r="I366" s="34"/>
      <c r="J366" s="34"/>
      <c r="K366" s="34"/>
    </row>
    <row r="367" customFormat="false" ht="14.25" hidden="false" customHeight="false" outlineLevel="0" collapsed="false">
      <c r="I367" s="34"/>
      <c r="J367" s="34"/>
      <c r="K367" s="34"/>
    </row>
    <row r="368" customFormat="false" ht="14.25" hidden="false" customHeight="false" outlineLevel="0" collapsed="false">
      <c r="I368" s="34"/>
      <c r="J368" s="34"/>
      <c r="K368" s="34"/>
    </row>
    <row r="369" customFormat="false" ht="14.25" hidden="false" customHeight="false" outlineLevel="0" collapsed="false">
      <c r="I369" s="34"/>
      <c r="J369" s="34"/>
      <c r="K369" s="34"/>
    </row>
    <row r="370" customFormat="false" ht="14.25" hidden="false" customHeight="false" outlineLevel="0" collapsed="false">
      <c r="I370" s="34"/>
      <c r="J370" s="34"/>
      <c r="K370" s="34"/>
    </row>
    <row r="371" customFormat="false" ht="14.25" hidden="false" customHeight="false" outlineLevel="0" collapsed="false">
      <c r="I371" s="34"/>
      <c r="J371" s="34"/>
      <c r="K371" s="34"/>
    </row>
    <row r="372" customFormat="false" ht="14.25" hidden="false" customHeight="false" outlineLevel="0" collapsed="false">
      <c r="I372" s="34"/>
      <c r="J372" s="34"/>
      <c r="K372" s="34"/>
    </row>
    <row r="373" customFormat="false" ht="14.25" hidden="false" customHeight="false" outlineLevel="0" collapsed="false">
      <c r="I373" s="34"/>
      <c r="J373" s="34"/>
      <c r="K373" s="34"/>
    </row>
    <row r="374" customFormat="false" ht="14.25" hidden="false" customHeight="false" outlineLevel="0" collapsed="false">
      <c r="I374" s="34"/>
      <c r="J374" s="34"/>
      <c r="K374" s="34"/>
    </row>
    <row r="375" customFormat="false" ht="14.25" hidden="false" customHeight="false" outlineLevel="0" collapsed="false">
      <c r="I375" s="34"/>
      <c r="J375" s="34"/>
      <c r="K375" s="34"/>
    </row>
    <row r="376" customFormat="false" ht="14.25" hidden="false" customHeight="false" outlineLevel="0" collapsed="false">
      <c r="I376" s="34"/>
      <c r="J376" s="34"/>
      <c r="K376" s="34"/>
    </row>
    <row r="377" customFormat="false" ht="14.25" hidden="false" customHeight="false" outlineLevel="0" collapsed="false">
      <c r="I377" s="34"/>
      <c r="J377" s="34"/>
      <c r="K377" s="34"/>
    </row>
    <row r="378" customFormat="false" ht="14.25" hidden="false" customHeight="false" outlineLevel="0" collapsed="false">
      <c r="I378" s="34"/>
      <c r="J378" s="34"/>
      <c r="K378" s="34"/>
    </row>
    <row r="379" customFormat="false" ht="14.25" hidden="false" customHeight="false" outlineLevel="0" collapsed="false">
      <c r="I379" s="34"/>
      <c r="J379" s="34"/>
      <c r="K379" s="34"/>
    </row>
    <row r="380" customFormat="false" ht="14.25" hidden="false" customHeight="false" outlineLevel="0" collapsed="false">
      <c r="I380" s="34"/>
      <c r="J380" s="34"/>
      <c r="K380" s="34"/>
    </row>
    <row r="381" customFormat="false" ht="14.25" hidden="false" customHeight="false" outlineLevel="0" collapsed="false">
      <c r="I381" s="34"/>
      <c r="J381" s="34"/>
      <c r="K381" s="34"/>
    </row>
    <row r="382" customFormat="false" ht="14.25" hidden="false" customHeight="false" outlineLevel="0" collapsed="false">
      <c r="I382" s="34"/>
      <c r="J382" s="34"/>
      <c r="K382" s="34"/>
    </row>
    <row r="383" customFormat="false" ht="14.25" hidden="false" customHeight="false" outlineLevel="0" collapsed="false">
      <c r="I383" s="34"/>
      <c r="J383" s="34"/>
      <c r="K383" s="34"/>
    </row>
    <row r="384" customFormat="false" ht="14.25" hidden="false" customHeight="false" outlineLevel="0" collapsed="false">
      <c r="I384" s="34"/>
      <c r="J384" s="34"/>
      <c r="K384" s="34"/>
    </row>
    <row r="385" customFormat="false" ht="14.25" hidden="false" customHeight="false" outlineLevel="0" collapsed="false">
      <c r="I385" s="34"/>
      <c r="J385" s="34"/>
      <c r="K385" s="34"/>
    </row>
    <row r="386" customFormat="false" ht="14.25" hidden="false" customHeight="false" outlineLevel="0" collapsed="false">
      <c r="I386" s="34"/>
      <c r="J386" s="34"/>
      <c r="K386" s="34"/>
    </row>
    <row r="387" customFormat="false" ht="14.25" hidden="false" customHeight="false" outlineLevel="0" collapsed="false">
      <c r="I387" s="34"/>
      <c r="J387" s="34"/>
      <c r="K387" s="34"/>
    </row>
    <row r="388" customFormat="false" ht="14.25" hidden="false" customHeight="false" outlineLevel="0" collapsed="false">
      <c r="I388" s="34"/>
      <c r="J388" s="34"/>
      <c r="K388" s="34"/>
    </row>
    <row r="389" customFormat="false" ht="14.25" hidden="false" customHeight="false" outlineLevel="0" collapsed="false">
      <c r="I389" s="34"/>
      <c r="J389" s="34"/>
      <c r="K389" s="34"/>
    </row>
    <row r="390" customFormat="false" ht="14.25" hidden="false" customHeight="false" outlineLevel="0" collapsed="false">
      <c r="I390" s="34"/>
      <c r="J390" s="34"/>
      <c r="K390" s="34"/>
    </row>
    <row r="391" customFormat="false" ht="14.25" hidden="false" customHeight="false" outlineLevel="0" collapsed="false">
      <c r="I391" s="34"/>
      <c r="J391" s="34"/>
      <c r="K391" s="34"/>
    </row>
    <row r="392" customFormat="false" ht="14.25" hidden="false" customHeight="false" outlineLevel="0" collapsed="false">
      <c r="I392" s="34"/>
      <c r="J392" s="34"/>
      <c r="K392" s="34"/>
    </row>
    <row r="393" customFormat="false" ht="14.25" hidden="false" customHeight="false" outlineLevel="0" collapsed="false">
      <c r="I393" s="34"/>
      <c r="J393" s="34"/>
      <c r="K393" s="34"/>
    </row>
    <row r="394" customFormat="false" ht="14.25" hidden="false" customHeight="false" outlineLevel="0" collapsed="false">
      <c r="I394" s="34"/>
      <c r="J394" s="34"/>
      <c r="K394" s="34"/>
    </row>
    <row r="395" customFormat="false" ht="14.25" hidden="false" customHeight="false" outlineLevel="0" collapsed="false">
      <c r="I395" s="34"/>
      <c r="J395" s="34"/>
      <c r="K395" s="34"/>
    </row>
    <row r="396" customFormat="false" ht="14.25" hidden="false" customHeight="false" outlineLevel="0" collapsed="false">
      <c r="I396" s="34"/>
      <c r="J396" s="34"/>
      <c r="K396" s="34"/>
    </row>
    <row r="397" customFormat="false" ht="14.25" hidden="false" customHeight="false" outlineLevel="0" collapsed="false">
      <c r="I397" s="34"/>
      <c r="J397" s="34"/>
      <c r="K397" s="34"/>
    </row>
    <row r="398" customFormat="false" ht="14.25" hidden="false" customHeight="false" outlineLevel="0" collapsed="false">
      <c r="I398" s="34"/>
      <c r="J398" s="34"/>
      <c r="K398" s="34"/>
    </row>
    <row r="399" customFormat="false" ht="14.25" hidden="false" customHeight="false" outlineLevel="0" collapsed="false">
      <c r="I399" s="34"/>
      <c r="J399" s="34"/>
      <c r="K399" s="34"/>
    </row>
    <row r="400" customFormat="false" ht="14.25" hidden="false" customHeight="false" outlineLevel="0" collapsed="false">
      <c r="I400" s="34"/>
      <c r="J400" s="34"/>
      <c r="K400" s="34"/>
    </row>
    <row r="401" customFormat="false" ht="14.25" hidden="false" customHeight="false" outlineLevel="0" collapsed="false">
      <c r="I401" s="34"/>
      <c r="J401" s="34"/>
      <c r="K401" s="34"/>
    </row>
    <row r="402" customFormat="false" ht="14.25" hidden="false" customHeight="false" outlineLevel="0" collapsed="false">
      <c r="I402" s="34"/>
      <c r="J402" s="34"/>
      <c r="K402" s="34"/>
    </row>
    <row r="403" customFormat="false" ht="14.25" hidden="false" customHeight="false" outlineLevel="0" collapsed="false">
      <c r="I403" s="34"/>
      <c r="J403" s="34"/>
      <c r="K403" s="34"/>
    </row>
    <row r="404" customFormat="false" ht="14.25" hidden="false" customHeight="false" outlineLevel="0" collapsed="false">
      <c r="I404" s="34"/>
      <c r="J404" s="34"/>
      <c r="K404" s="34"/>
    </row>
    <row r="405" customFormat="false" ht="14.25" hidden="false" customHeight="false" outlineLevel="0" collapsed="false">
      <c r="I405" s="34"/>
      <c r="J405" s="34"/>
      <c r="K405" s="34"/>
    </row>
    <row r="406" customFormat="false" ht="14.25" hidden="false" customHeight="false" outlineLevel="0" collapsed="false">
      <c r="I406" s="34"/>
      <c r="J406" s="34"/>
      <c r="K406" s="34"/>
    </row>
    <row r="407" customFormat="false" ht="14.25" hidden="false" customHeight="false" outlineLevel="0" collapsed="false">
      <c r="I407" s="34"/>
      <c r="J407" s="34"/>
      <c r="K407" s="34"/>
    </row>
    <row r="408" customFormat="false" ht="14.25" hidden="false" customHeight="false" outlineLevel="0" collapsed="false">
      <c r="I408" s="34"/>
      <c r="J408" s="34"/>
      <c r="K408" s="34"/>
    </row>
    <row r="409" customFormat="false" ht="14.25" hidden="false" customHeight="false" outlineLevel="0" collapsed="false">
      <c r="I409" s="34"/>
      <c r="J409" s="34"/>
      <c r="K409" s="34"/>
    </row>
    <row r="410" customFormat="false" ht="14.25" hidden="false" customHeight="false" outlineLevel="0" collapsed="false">
      <c r="I410" s="34"/>
      <c r="J410" s="34"/>
      <c r="K410" s="34"/>
    </row>
    <row r="411" customFormat="false" ht="14.25" hidden="false" customHeight="false" outlineLevel="0" collapsed="false">
      <c r="I411" s="34"/>
      <c r="J411" s="34"/>
      <c r="K411" s="34"/>
    </row>
    <row r="412" customFormat="false" ht="14.25" hidden="false" customHeight="false" outlineLevel="0" collapsed="false">
      <c r="I412" s="34"/>
      <c r="J412" s="34"/>
      <c r="K412" s="34"/>
    </row>
    <row r="413" customFormat="false" ht="14.25" hidden="false" customHeight="false" outlineLevel="0" collapsed="false">
      <c r="I413" s="34"/>
      <c r="J413" s="34"/>
      <c r="K413" s="34"/>
    </row>
    <row r="414" customFormat="false" ht="14.25" hidden="false" customHeight="false" outlineLevel="0" collapsed="false">
      <c r="I414" s="34"/>
      <c r="J414" s="34"/>
      <c r="K414" s="34"/>
    </row>
    <row r="415" customFormat="false" ht="14.25" hidden="false" customHeight="false" outlineLevel="0" collapsed="false">
      <c r="I415" s="34"/>
      <c r="J415" s="34"/>
      <c r="K415" s="34"/>
    </row>
    <row r="416" customFormat="false" ht="14.25" hidden="false" customHeight="false" outlineLevel="0" collapsed="false">
      <c r="I416" s="34"/>
      <c r="J416" s="34"/>
      <c r="K416" s="34"/>
    </row>
    <row r="417" customFormat="false" ht="14.25" hidden="false" customHeight="false" outlineLevel="0" collapsed="false">
      <c r="I417" s="34"/>
      <c r="J417" s="34"/>
      <c r="K417" s="34"/>
    </row>
    <row r="418" customFormat="false" ht="14.25" hidden="false" customHeight="false" outlineLevel="0" collapsed="false">
      <c r="I418" s="34"/>
      <c r="J418" s="34"/>
      <c r="K418" s="34"/>
    </row>
    <row r="419" customFormat="false" ht="14.25" hidden="false" customHeight="false" outlineLevel="0" collapsed="false">
      <c r="I419" s="34"/>
      <c r="J419" s="34"/>
      <c r="K419" s="34"/>
    </row>
    <row r="420" customFormat="false" ht="14.25" hidden="false" customHeight="false" outlineLevel="0" collapsed="false">
      <c r="I420" s="34"/>
      <c r="J420" s="34"/>
      <c r="K420" s="34"/>
    </row>
    <row r="421" customFormat="false" ht="14.25" hidden="false" customHeight="false" outlineLevel="0" collapsed="false">
      <c r="I421" s="34"/>
      <c r="J421" s="34"/>
      <c r="K421" s="34"/>
    </row>
    <row r="422" customFormat="false" ht="14.25" hidden="false" customHeight="false" outlineLevel="0" collapsed="false">
      <c r="I422" s="34"/>
      <c r="J422" s="34"/>
      <c r="K422" s="34"/>
    </row>
    <row r="423" customFormat="false" ht="14.25" hidden="false" customHeight="false" outlineLevel="0" collapsed="false">
      <c r="I423" s="34"/>
      <c r="J423" s="34"/>
      <c r="K423" s="34"/>
    </row>
    <row r="424" customFormat="false" ht="14.25" hidden="false" customHeight="false" outlineLevel="0" collapsed="false">
      <c r="I424" s="34"/>
      <c r="J424" s="34"/>
      <c r="K424" s="34"/>
    </row>
    <row r="425" customFormat="false" ht="14.25" hidden="false" customHeight="false" outlineLevel="0" collapsed="false">
      <c r="I425" s="34"/>
      <c r="J425" s="34"/>
      <c r="K425" s="34"/>
    </row>
    <row r="426" customFormat="false" ht="14.25" hidden="false" customHeight="false" outlineLevel="0" collapsed="false">
      <c r="I426" s="34"/>
      <c r="J426" s="34"/>
      <c r="K426" s="34"/>
    </row>
    <row r="427" customFormat="false" ht="14.25" hidden="false" customHeight="false" outlineLevel="0" collapsed="false">
      <c r="I427" s="34"/>
      <c r="J427" s="34"/>
      <c r="K427" s="34"/>
    </row>
    <row r="428" customFormat="false" ht="14.25" hidden="false" customHeight="false" outlineLevel="0" collapsed="false">
      <c r="I428" s="34"/>
      <c r="J428" s="34"/>
      <c r="K428" s="34"/>
    </row>
    <row r="429" customFormat="false" ht="14.25" hidden="false" customHeight="false" outlineLevel="0" collapsed="false">
      <c r="I429" s="34"/>
      <c r="J429" s="34"/>
      <c r="K429" s="34"/>
    </row>
    <row r="430" customFormat="false" ht="14.25" hidden="false" customHeight="false" outlineLevel="0" collapsed="false">
      <c r="I430" s="34"/>
      <c r="J430" s="34"/>
      <c r="K430" s="34"/>
    </row>
    <row r="431" customFormat="false" ht="14.25" hidden="false" customHeight="false" outlineLevel="0" collapsed="false">
      <c r="I431" s="34"/>
      <c r="J431" s="34"/>
      <c r="K431" s="34"/>
    </row>
    <row r="432" customFormat="false" ht="14.25" hidden="false" customHeight="false" outlineLevel="0" collapsed="false">
      <c r="I432" s="34"/>
      <c r="J432" s="34"/>
      <c r="K432" s="34"/>
    </row>
    <row r="433" customFormat="false" ht="14.25" hidden="false" customHeight="false" outlineLevel="0" collapsed="false">
      <c r="I433" s="34"/>
      <c r="J433" s="34"/>
      <c r="K433" s="34"/>
    </row>
    <row r="434" customFormat="false" ht="14.25" hidden="false" customHeight="false" outlineLevel="0" collapsed="false">
      <c r="I434" s="34"/>
      <c r="J434" s="34"/>
      <c r="K434" s="34"/>
    </row>
    <row r="435" customFormat="false" ht="14.25" hidden="false" customHeight="false" outlineLevel="0" collapsed="false">
      <c r="I435" s="34"/>
      <c r="J435" s="34"/>
      <c r="K435" s="34"/>
    </row>
    <row r="436" customFormat="false" ht="14.25" hidden="false" customHeight="false" outlineLevel="0" collapsed="false">
      <c r="I436" s="34"/>
      <c r="J436" s="34"/>
      <c r="K436" s="34"/>
    </row>
    <row r="437" customFormat="false" ht="14.25" hidden="false" customHeight="false" outlineLevel="0" collapsed="false">
      <c r="I437" s="34"/>
      <c r="J437" s="34"/>
      <c r="K437" s="34"/>
    </row>
    <row r="438" customFormat="false" ht="14.25" hidden="false" customHeight="false" outlineLevel="0" collapsed="false">
      <c r="I438" s="34"/>
      <c r="J438" s="34"/>
      <c r="K438" s="34"/>
    </row>
    <row r="439" customFormat="false" ht="14.25" hidden="false" customHeight="false" outlineLevel="0" collapsed="false">
      <c r="I439" s="34"/>
      <c r="J439" s="34"/>
      <c r="K439" s="34"/>
    </row>
    <row r="440" customFormat="false" ht="14.25" hidden="false" customHeight="false" outlineLevel="0" collapsed="false">
      <c r="I440" s="34"/>
      <c r="J440" s="34"/>
      <c r="K440" s="34"/>
    </row>
    <row r="441" customFormat="false" ht="14.25" hidden="false" customHeight="false" outlineLevel="0" collapsed="false">
      <c r="I441" s="34"/>
      <c r="J441" s="34"/>
      <c r="K441" s="34"/>
    </row>
    <row r="442" customFormat="false" ht="14.25" hidden="false" customHeight="false" outlineLevel="0" collapsed="false">
      <c r="I442" s="34"/>
      <c r="J442" s="34"/>
      <c r="K442" s="34"/>
    </row>
    <row r="443" customFormat="false" ht="14.25" hidden="false" customHeight="false" outlineLevel="0" collapsed="false">
      <c r="I443" s="34"/>
      <c r="J443" s="34"/>
      <c r="K443" s="34"/>
    </row>
    <row r="444" customFormat="false" ht="14.25" hidden="false" customHeight="false" outlineLevel="0" collapsed="false">
      <c r="I444" s="34"/>
      <c r="J444" s="34"/>
      <c r="K444" s="34"/>
    </row>
    <row r="445" customFormat="false" ht="14.25" hidden="false" customHeight="false" outlineLevel="0" collapsed="false">
      <c r="I445" s="34"/>
      <c r="J445" s="34"/>
      <c r="K445" s="34"/>
    </row>
    <row r="446" customFormat="false" ht="14.25" hidden="false" customHeight="false" outlineLevel="0" collapsed="false">
      <c r="I446" s="34"/>
      <c r="J446" s="34"/>
      <c r="K446" s="34"/>
    </row>
    <row r="447" customFormat="false" ht="14.25" hidden="false" customHeight="false" outlineLevel="0" collapsed="false">
      <c r="I447" s="34"/>
      <c r="J447" s="34"/>
      <c r="K447" s="34"/>
    </row>
    <row r="448" customFormat="false" ht="14.25" hidden="false" customHeight="false" outlineLevel="0" collapsed="false">
      <c r="I448" s="34"/>
      <c r="J448" s="34"/>
      <c r="K448" s="34"/>
    </row>
  </sheetData>
  <conditionalFormatting sqref="B3:B224">
    <cfRule type="cellIs" priority="2" operator="greaterThan" aboveAverage="0" equalAverage="0" bottom="0" percent="0" rank="0" text="" dxfId="0">
      <formula>20887</formula>
    </cfRule>
  </conditionalFormatting>
  <conditionalFormatting sqref="B2:B224">
    <cfRule type="cellIs" priority="3" operator="between" aboveAverage="0" equalAverage="0" bottom="0" percent="0" rank="0" text="" dxfId="1">
      <formula>10443</formula>
      <formula>20886</formula>
    </cfRule>
  </conditionalFormatting>
  <conditionalFormatting sqref="E15">
    <cfRule type="cellIs" priority="4" operator="between" aboveAverage="0" equalAverage="0" bottom="0" percent="0" rank="0" text="" dxfId="2">
      <formula>5221</formula>
      <formula>10442</formula>
    </cfRule>
    <cfRule type="cellIs" priority="5" operator="between" aboveAverage="0" equalAverage="0" bottom="0" percent="0" rank="0" text="" dxfId="3">
      <formula>2600</formula>
      <formula>5220</formula>
    </cfRule>
  </conditionalFormatting>
  <conditionalFormatting sqref="C3:C224">
    <cfRule type="cellIs" priority="6" operator="greaterThan" aboveAverage="0" equalAverage="0" bottom="0" percent="0" rank="0" text="" dxfId="4">
      <formula>41112</formula>
    </cfRule>
    <cfRule type="cellIs" priority="7" operator="between" aboveAverage="0" equalAverage="0" bottom="0" percent="0" rank="0" text="" dxfId="5">
      <formula>20557</formula>
      <formula>41111</formula>
    </cfRule>
    <cfRule type="cellIs" priority="8" operator="between" aboveAverage="0" equalAverage="0" bottom="0" percent="0" rank="0" text="" dxfId="6">
      <formula>10279</formula>
      <formula>20556</formula>
    </cfRule>
    <cfRule type="cellIs" priority="9" operator="lessThan" aboveAverage="0" equalAverage="0" bottom="0" percent="0" rank="0" text="" dxfId="7">
      <formula>5138</formula>
    </cfRule>
    <cfRule type="cellIs" priority="10" operator="between" aboveAverage="0" equalAverage="0" bottom="0" percent="0" rank="0" text="" dxfId="8">
      <formula>5140</formula>
      <formula>10278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9" activeCellId="0" sqref="P9"/>
    </sheetView>
  </sheetViews>
  <sheetFormatPr defaultColWidth="8.55078125" defaultRowHeight="14.25" zeroHeight="false" outlineLevelRow="0" outlineLevelCol="0"/>
  <cols>
    <col collapsed="false" customWidth="true" hidden="false" outlineLevel="0" max="5" min="5" style="0" width="23"/>
    <col collapsed="false" customWidth="true" hidden="false" outlineLevel="0" max="6" min="6" style="0" width="13.44"/>
  </cols>
  <sheetData>
    <row r="1" customFormat="false" ht="14.25" hidden="false" customHeight="false" outlineLevel="0" collapsed="false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</row>
    <row r="2" customFormat="false" ht="14.25" hidden="false" customHeight="false" outlineLevel="0" collapsed="false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</row>
    <row r="3" customFormat="false" ht="14.25" hidden="false" customHeight="false" outlineLevel="0" collapsed="false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</row>
    <row r="4" customFormat="false" ht="14.25" hidden="false" customHeight="false" outlineLevel="0" collapsed="false">
      <c r="A4" s="34"/>
      <c r="B4" s="34"/>
      <c r="C4" s="34"/>
      <c r="D4" s="35"/>
      <c r="E4" s="36"/>
      <c r="F4" s="36"/>
      <c r="G4" s="36"/>
      <c r="H4" s="36"/>
      <c r="I4" s="36"/>
      <c r="J4" s="36"/>
      <c r="K4" s="36"/>
      <c r="L4" s="36"/>
      <c r="M4" s="36"/>
      <c r="N4" s="37"/>
      <c r="O4" s="34"/>
      <c r="P4" s="34"/>
      <c r="Q4" s="34"/>
      <c r="R4" s="34"/>
      <c r="S4" s="34"/>
      <c r="T4" s="34"/>
      <c r="U4" s="34"/>
      <c r="V4" s="34"/>
    </row>
    <row r="5" customFormat="false" ht="14.25" hidden="false" customHeight="false" outlineLevel="0" collapsed="false">
      <c r="A5" s="34"/>
      <c r="B5" s="34"/>
      <c r="C5" s="34"/>
      <c r="D5" s="38"/>
      <c r="E5" s="39"/>
      <c r="F5" s="39"/>
      <c r="G5" s="39"/>
      <c r="H5" s="39"/>
      <c r="I5" s="39"/>
      <c r="J5" s="39"/>
      <c r="K5" s="39"/>
      <c r="L5" s="39"/>
      <c r="M5" s="39"/>
      <c r="N5" s="40"/>
      <c r="O5" s="34"/>
      <c r="P5" s="34"/>
      <c r="Q5" s="34"/>
      <c r="R5" s="34"/>
      <c r="S5" s="34"/>
      <c r="T5" s="34"/>
      <c r="U5" s="34"/>
      <c r="V5" s="34"/>
    </row>
    <row r="6" customFormat="false" ht="29.15" hidden="false" customHeight="false" outlineLevel="0" collapsed="false">
      <c r="A6" s="34"/>
      <c r="B6" s="34"/>
      <c r="C6" s="34"/>
      <c r="D6" s="38"/>
      <c r="E6" s="41" t="s">
        <v>573</v>
      </c>
      <c r="F6" s="39"/>
      <c r="G6" s="39"/>
      <c r="H6" s="39"/>
      <c r="I6" s="39"/>
      <c r="J6" s="39"/>
      <c r="K6" s="39"/>
      <c r="L6" s="39"/>
      <c r="M6" s="39"/>
      <c r="N6" s="40"/>
      <c r="O6" s="34"/>
      <c r="P6" s="34"/>
      <c r="Q6" s="34"/>
      <c r="R6" s="34"/>
      <c r="S6" s="34"/>
      <c r="T6" s="34"/>
      <c r="U6" s="34"/>
      <c r="V6" s="34"/>
    </row>
    <row r="7" customFormat="false" ht="14.25" hidden="false" customHeight="false" outlineLevel="0" collapsed="false">
      <c r="A7" s="34"/>
      <c r="B7" s="34"/>
      <c r="C7" s="34"/>
      <c r="D7" s="38"/>
      <c r="E7" s="39"/>
      <c r="F7" s="39"/>
      <c r="G7" s="39"/>
      <c r="H7" s="39"/>
      <c r="I7" s="39"/>
      <c r="J7" s="39"/>
      <c r="K7" s="39"/>
      <c r="L7" s="39"/>
      <c r="M7" s="39"/>
      <c r="N7" s="40"/>
      <c r="O7" s="34"/>
      <c r="P7" s="34"/>
      <c r="Q7" s="34"/>
      <c r="R7" s="34"/>
      <c r="S7" s="34"/>
      <c r="T7" s="34"/>
      <c r="U7" s="34"/>
      <c r="V7" s="34"/>
    </row>
    <row r="8" customFormat="false" ht="22.05" hidden="false" customHeight="false" outlineLevel="0" collapsed="false">
      <c r="A8" s="34"/>
      <c r="B8" s="34"/>
      <c r="C8" s="34"/>
      <c r="D8" s="38"/>
      <c r="E8" s="39"/>
      <c r="F8" s="42" t="s">
        <v>574</v>
      </c>
      <c r="G8" s="43"/>
      <c r="H8" s="43" t="n">
        <v>1</v>
      </c>
      <c r="I8" s="43" t="n">
        <v>2</v>
      </c>
      <c r="J8" s="43" t="n">
        <v>3</v>
      </c>
      <c r="K8" s="43" t="n">
        <v>4</v>
      </c>
      <c r="L8" s="44" t="n">
        <v>5</v>
      </c>
      <c r="M8" s="39"/>
      <c r="N8" s="40"/>
      <c r="O8" s="34"/>
      <c r="P8" s="34"/>
      <c r="Q8" s="34"/>
      <c r="R8" s="34"/>
      <c r="S8" s="34"/>
      <c r="T8" s="34"/>
      <c r="U8" s="34"/>
      <c r="V8" s="34"/>
    </row>
    <row r="9" customFormat="false" ht="26" hidden="false" customHeight="false" outlineLevel="0" collapsed="false">
      <c r="A9" s="34"/>
      <c r="B9" s="34"/>
      <c r="C9" s="34"/>
      <c r="D9" s="38"/>
      <c r="E9" s="39"/>
      <c r="F9" s="45" t="n">
        <v>66</v>
      </c>
      <c r="G9" s="46" t="n">
        <v>1</v>
      </c>
      <c r="H9" s="47" t="n">
        <f aca="false">54/66*100</f>
        <v>81.8181818181818</v>
      </c>
      <c r="I9" s="47" t="n">
        <f aca="false">12/66*100</f>
        <v>18.1818181818182</v>
      </c>
      <c r="J9" s="47" t="n">
        <v>0</v>
      </c>
      <c r="K9" s="47" t="n">
        <v>0</v>
      </c>
      <c r="L9" s="48" t="n">
        <v>0</v>
      </c>
      <c r="M9" s="39"/>
      <c r="N9" s="40"/>
      <c r="O9" s="34"/>
      <c r="P9" s="34"/>
      <c r="Q9" s="34"/>
      <c r="R9" s="34"/>
      <c r="S9" s="34"/>
      <c r="T9" s="34"/>
      <c r="U9" s="34"/>
      <c r="V9" s="34"/>
    </row>
    <row r="10" customFormat="false" ht="26" hidden="false" customHeight="false" outlineLevel="0" collapsed="false">
      <c r="A10" s="34"/>
      <c r="B10" s="34"/>
      <c r="C10" s="34"/>
      <c r="D10" s="38"/>
      <c r="E10" s="39"/>
      <c r="F10" s="45" t="n">
        <v>39</v>
      </c>
      <c r="G10" s="46" t="n">
        <v>2</v>
      </c>
      <c r="H10" s="47" t="n">
        <f aca="false">2/39*100</f>
        <v>5.12820512820513</v>
      </c>
      <c r="I10" s="47" t="n">
        <f aca="false">16/39*100</f>
        <v>41.025641025641</v>
      </c>
      <c r="J10" s="47" t="n">
        <f aca="false">21/39*100</f>
        <v>53.8461538461539</v>
      </c>
      <c r="K10" s="47" t="n">
        <v>0</v>
      </c>
      <c r="L10" s="48" t="n">
        <v>0</v>
      </c>
      <c r="M10" s="39"/>
      <c r="N10" s="40"/>
      <c r="O10" s="34"/>
      <c r="P10" s="34"/>
      <c r="Q10" s="34"/>
      <c r="R10" s="34"/>
      <c r="S10" s="34"/>
      <c r="T10" s="34"/>
      <c r="U10" s="34"/>
      <c r="V10" s="34"/>
    </row>
    <row r="11" customFormat="false" ht="26" hidden="false" customHeight="false" outlineLevel="0" collapsed="false">
      <c r="A11" s="34"/>
      <c r="B11" s="34"/>
      <c r="C11" s="34"/>
      <c r="D11" s="38"/>
      <c r="E11" s="39"/>
      <c r="F11" s="45" t="n">
        <v>55</v>
      </c>
      <c r="G11" s="46" t="n">
        <v>3</v>
      </c>
      <c r="H11" s="47" t="n">
        <v>0</v>
      </c>
      <c r="I11" s="47" t="n">
        <f aca="false">2/55*100</f>
        <v>3.63636363636364</v>
      </c>
      <c r="J11" s="47" t="n">
        <f aca="false">35/55*100</f>
        <v>63.6363636363636</v>
      </c>
      <c r="K11" s="47" t="n">
        <f aca="false">18/55*100</f>
        <v>32.7272727272727</v>
      </c>
      <c r="L11" s="48" t="n">
        <v>0</v>
      </c>
      <c r="M11" s="39"/>
      <c r="N11" s="40"/>
      <c r="O11" s="34"/>
      <c r="P11" s="34"/>
      <c r="Q11" s="34"/>
      <c r="R11" s="34"/>
      <c r="S11" s="34"/>
      <c r="T11" s="34"/>
      <c r="U11" s="34"/>
      <c r="V11" s="34"/>
    </row>
    <row r="12" customFormat="false" ht="26" hidden="false" customHeight="false" outlineLevel="0" collapsed="false">
      <c r="A12" s="34"/>
      <c r="B12" s="34"/>
      <c r="C12" s="34"/>
      <c r="D12" s="38"/>
      <c r="E12" s="39"/>
      <c r="F12" s="45" t="n">
        <v>25</v>
      </c>
      <c r="G12" s="46" t="n">
        <v>4</v>
      </c>
      <c r="H12" s="47" t="n">
        <v>0</v>
      </c>
      <c r="I12" s="47" t="n">
        <v>0</v>
      </c>
      <c r="J12" s="47" t="n">
        <f aca="false">6/25*100</f>
        <v>24</v>
      </c>
      <c r="K12" s="47" t="n">
        <f aca="false">16/25*100</f>
        <v>64</v>
      </c>
      <c r="L12" s="48" t="n">
        <f aca="false">3/25*100</f>
        <v>12</v>
      </c>
      <c r="M12" s="39"/>
      <c r="N12" s="40"/>
      <c r="O12" s="34"/>
      <c r="P12" s="34"/>
      <c r="Q12" s="34"/>
      <c r="R12" s="34"/>
      <c r="S12" s="34"/>
      <c r="T12" s="34"/>
      <c r="U12" s="34"/>
      <c r="V12" s="34"/>
    </row>
    <row r="13" customFormat="false" ht="26" hidden="false" customHeight="false" outlineLevel="0" collapsed="false">
      <c r="A13" s="34"/>
      <c r="B13" s="34"/>
      <c r="C13" s="34"/>
      <c r="D13" s="38"/>
      <c r="E13" s="39"/>
      <c r="F13" s="49" t="n">
        <v>37</v>
      </c>
      <c r="G13" s="50" t="n">
        <v>5</v>
      </c>
      <c r="H13" s="50" t="n">
        <v>0</v>
      </c>
      <c r="I13" s="50" t="n">
        <v>0</v>
      </c>
      <c r="J13" s="50" t="n">
        <v>0</v>
      </c>
      <c r="K13" s="50" t="n">
        <f aca="false">2/37*100</f>
        <v>5.40540540540541</v>
      </c>
      <c r="L13" s="51" t="n">
        <f aca="false">35/37*100</f>
        <v>94.5945945945946</v>
      </c>
      <c r="M13" s="39"/>
      <c r="N13" s="40"/>
      <c r="O13" s="34"/>
      <c r="P13" s="34"/>
      <c r="Q13" s="34"/>
      <c r="R13" s="34"/>
      <c r="S13" s="34"/>
      <c r="T13" s="34"/>
      <c r="U13" s="34"/>
      <c r="V13" s="34"/>
    </row>
    <row r="14" customFormat="false" ht="14.25" hidden="false" customHeight="false" outlineLevel="0" collapsed="false">
      <c r="A14" s="34"/>
      <c r="B14" s="34"/>
      <c r="C14" s="34"/>
      <c r="D14" s="38"/>
      <c r="E14" s="39"/>
      <c r="F14" s="39"/>
      <c r="G14" s="39"/>
      <c r="H14" s="39"/>
      <c r="I14" s="39"/>
      <c r="J14" s="39"/>
      <c r="K14" s="39"/>
      <c r="L14" s="39"/>
      <c r="M14" s="39"/>
      <c r="N14" s="40"/>
      <c r="O14" s="34"/>
      <c r="P14" s="34"/>
      <c r="Q14" s="34"/>
      <c r="R14" s="34"/>
      <c r="S14" s="34"/>
      <c r="T14" s="34"/>
      <c r="U14" s="34"/>
      <c r="V14" s="34"/>
    </row>
    <row r="15" customFormat="false" ht="14.25" hidden="false" customHeight="false" outlineLevel="0" collapsed="false">
      <c r="A15" s="34"/>
      <c r="B15" s="34"/>
      <c r="C15" s="34"/>
      <c r="D15" s="38"/>
      <c r="E15" s="39"/>
      <c r="F15" s="39"/>
      <c r="G15" s="39"/>
      <c r="H15" s="39"/>
      <c r="I15" s="39"/>
      <c r="J15" s="39"/>
      <c r="K15" s="39"/>
      <c r="L15" s="39"/>
      <c r="M15" s="39"/>
      <c r="N15" s="40"/>
      <c r="O15" s="34"/>
      <c r="P15" s="34"/>
      <c r="Q15" s="34"/>
      <c r="R15" s="34"/>
      <c r="S15" s="34"/>
      <c r="T15" s="34"/>
      <c r="U15" s="34"/>
      <c r="V15" s="34"/>
    </row>
    <row r="16" customFormat="false" ht="14.25" hidden="false" customHeight="false" outlineLevel="0" collapsed="false">
      <c r="A16" s="34"/>
      <c r="B16" s="34"/>
      <c r="C16" s="34"/>
      <c r="D16" s="52"/>
      <c r="E16" s="53"/>
      <c r="F16" s="53"/>
      <c r="G16" s="53"/>
      <c r="H16" s="53"/>
      <c r="I16" s="53"/>
      <c r="J16" s="53"/>
      <c r="K16" s="53"/>
      <c r="L16" s="53"/>
      <c r="M16" s="53"/>
      <c r="N16" s="54"/>
      <c r="O16" s="34"/>
      <c r="P16" s="34"/>
      <c r="Q16" s="34"/>
      <c r="R16" s="34"/>
      <c r="S16" s="34"/>
      <c r="T16" s="34"/>
      <c r="U16" s="34"/>
      <c r="V16" s="34"/>
    </row>
    <row r="17" customFormat="false" ht="14.25" hidden="false" customHeight="false" outlineLevel="0" collapsed="false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</row>
    <row r="18" customFormat="false" ht="14.25" hidden="false" customHeight="false" outlineLevel="0" collapsed="false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</row>
    <row r="19" customFormat="false" ht="14.25" hidden="false" customHeight="false" outlineLevel="0" collapsed="false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</row>
    <row r="20" customFormat="false" ht="14.25" hidden="false" customHeight="false" outlineLevel="0" collapsed="false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</row>
    <row r="21" customFormat="false" ht="14.25" hidden="false" customHeight="false" outlineLevel="0" collapsed="false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</row>
    <row r="22" customFormat="false" ht="14.25" hidden="false" customHeight="false" outlineLevel="0" collapsed="false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</row>
    <row r="23" customFormat="false" ht="14.25" hidden="false" customHeight="false" outlineLevel="0" collapsed="false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</row>
    <row r="24" customFormat="false" ht="14.25" hidden="false" customHeight="false" outlineLevel="0" collapsed="false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</row>
    <row r="25" customFormat="false" ht="14.25" hidden="false" customHeight="false" outlineLevel="0" collapsed="false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</row>
    <row r="26" customFormat="false" ht="14.25" hidden="false" customHeight="false" outlineLevel="0" collapsed="false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</row>
    <row r="27" customFormat="false" ht="14.25" hidden="false" customHeight="false" outlineLevel="0" collapsed="false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</row>
    <row r="28" customFormat="false" ht="14.25" hidden="false" customHeight="false" outlineLevel="0" collapsed="false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</row>
    <row r="29" customFormat="false" ht="14.25" hidden="false" customHeight="false" outlineLevel="0" collapsed="false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</row>
    <row r="30" customFormat="false" ht="14.25" hidden="false" customHeight="false" outlineLevel="0" collapsed="false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</row>
    <row r="31" customFormat="false" ht="14.25" hidden="false" customHeight="false" outlineLevel="0" collapsed="false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</row>
    <row r="32" customFormat="false" ht="14.25" hidden="false" customHeight="false" outlineLevel="0" collapsed="false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</row>
    <row r="33" customFormat="false" ht="14.25" hidden="false" customHeight="false" outlineLevel="0" collapsed="false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</row>
    <row r="34" customFormat="false" ht="14.25" hidden="false" customHeight="false" outlineLevel="0" collapsed="false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</row>
    <row r="35" customFormat="false" ht="14.25" hidden="false" customHeight="false" outlineLevel="0" collapsed="false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</row>
    <row r="36" customFormat="false" ht="14.25" hidden="false" customHeight="false" outlineLevel="0" collapsed="false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</row>
    <row r="37" customFormat="false" ht="14.25" hidden="false" customHeight="false" outlineLevel="0" collapsed="false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</row>
    <row r="38" customFormat="false" ht="14.25" hidden="false" customHeight="false" outlineLevel="0" collapsed="false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</row>
    <row r="39" customFormat="false" ht="14.25" hidden="false" customHeight="false" outlineLevel="0" collapsed="false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</row>
    <row r="40" customFormat="false" ht="14.25" hidden="false" customHeight="false" outlineLevel="0" collapsed="false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</row>
    <row r="41" customFormat="false" ht="14.25" hidden="false" customHeight="false" outlineLevel="0" collapsed="false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</row>
    <row r="42" customFormat="false" ht="14.25" hidden="false" customHeight="false" outlineLevel="0" collapsed="false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</row>
    <row r="43" customFormat="false" ht="14.25" hidden="false" customHeight="false" outlineLevel="0" collapsed="false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</row>
    <row r="44" customFormat="false" ht="14.25" hidden="false" customHeight="false" outlineLevel="0" collapsed="false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</row>
    <row r="45" customFormat="false" ht="14.25" hidden="false" customHeight="false" outlineLevel="0" collapsed="false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</row>
    <row r="46" customFormat="false" ht="14.25" hidden="false" customHeight="false" outlineLevel="0" collapsed="false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</row>
  </sheetData>
  <conditionalFormatting sqref="H9:L13">
    <cfRule type="dataBar" priority="2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{338967C2-A180-4011-8D22-76FD99773D66}</x14:id>
        </ext>
      </extLst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8967C2-A180-4011-8D22-76FD99773D66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H9:L13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890625" defaultRowHeight="14.25" zeroHeight="false" outlineLevelRow="0" outlineLevelCol="0"/>
  <cols>
    <col collapsed="false" customWidth="true" hidden="false" outlineLevel="0" max="1" min="1" style="55" width="44.11"/>
    <col collapsed="false" customWidth="true" hidden="false" outlineLevel="0" max="3" min="2" style="55" width="5"/>
    <col collapsed="false" customWidth="false" hidden="false" outlineLevel="0" max="16384" min="4" style="55" width="8.89"/>
  </cols>
  <sheetData>
    <row r="1" customFormat="false" ht="14.25" hidden="false" customHeight="false" outlineLevel="0" collapsed="false">
      <c r="A1" s="55" t="s">
        <v>575</v>
      </c>
    </row>
    <row r="2" customFormat="false" ht="14.25" hidden="false" customHeight="false" outlineLevel="0" collapsed="false">
      <c r="A2" s="55" t="s">
        <v>576</v>
      </c>
    </row>
    <row r="4" customFormat="false" ht="14.25" hidden="false" customHeight="false" outlineLevel="0" collapsed="false">
      <c r="A4" s="55" t="s">
        <v>2</v>
      </c>
      <c r="B4" s="55" t="s">
        <v>577</v>
      </c>
      <c r="C4" s="55" t="s">
        <v>578</v>
      </c>
    </row>
    <row r="5" customFormat="false" ht="14.25" hidden="false" customHeight="false" outlineLevel="0" collapsed="false">
      <c r="A5" s="55" t="s">
        <v>37</v>
      </c>
    </row>
    <row r="6" customFormat="false" ht="14.25" hidden="false" customHeight="false" outlineLevel="0" collapsed="false">
      <c r="A6" s="55" t="s">
        <v>453</v>
      </c>
    </row>
    <row r="7" customFormat="false" ht="14.25" hidden="false" customHeight="false" outlineLevel="0" collapsed="false">
      <c r="A7" s="55" t="s">
        <v>18</v>
      </c>
    </row>
    <row r="8" customFormat="false" ht="14.25" hidden="false" customHeight="false" outlineLevel="0" collapsed="false">
      <c r="A8" s="55" t="s">
        <v>455</v>
      </c>
    </row>
    <row r="9" customFormat="false" ht="14.25" hidden="false" customHeight="false" outlineLevel="0" collapsed="false">
      <c r="A9" s="55" t="s">
        <v>29</v>
      </c>
    </row>
    <row r="10" customFormat="false" ht="14.25" hidden="false" customHeight="false" outlineLevel="0" collapsed="false">
      <c r="A10" s="55" t="s">
        <v>21</v>
      </c>
      <c r="C10" s="55" t="n">
        <v>7</v>
      </c>
    </row>
    <row r="11" customFormat="false" ht="14.25" hidden="false" customHeight="false" outlineLevel="0" collapsed="false">
      <c r="A11" s="55" t="s">
        <v>27</v>
      </c>
    </row>
    <row r="12" customFormat="false" ht="14.25" hidden="false" customHeight="false" outlineLevel="0" collapsed="false">
      <c r="A12" s="55" t="s">
        <v>457</v>
      </c>
    </row>
    <row r="13" customFormat="false" ht="14.25" hidden="false" customHeight="false" outlineLevel="0" collapsed="false">
      <c r="A13" s="55" t="s">
        <v>427</v>
      </c>
    </row>
    <row r="14" customFormat="false" ht="14.25" hidden="false" customHeight="false" outlineLevel="0" collapsed="false">
      <c r="A14" s="55" t="s">
        <v>33</v>
      </c>
      <c r="B14" s="55" t="n">
        <v>4.1</v>
      </c>
      <c r="C14" s="55" t="n">
        <v>5.1</v>
      </c>
    </row>
    <row r="15" customFormat="false" ht="14.25" hidden="false" customHeight="false" outlineLevel="0" collapsed="false">
      <c r="A15" s="55" t="s">
        <v>35</v>
      </c>
      <c r="B15" s="55" t="n">
        <v>8.4</v>
      </c>
      <c r="C15" s="55" t="n">
        <v>8.4</v>
      </c>
    </row>
    <row r="16" customFormat="false" ht="14.25" hidden="false" customHeight="false" outlineLevel="0" collapsed="false">
      <c r="A16" s="55" t="s">
        <v>25</v>
      </c>
    </row>
    <row r="17" customFormat="false" ht="14.25" hidden="false" customHeight="false" outlineLevel="0" collapsed="false">
      <c r="A17" s="55" t="s">
        <v>31</v>
      </c>
    </row>
    <row r="18" customFormat="false" ht="14.25" hidden="false" customHeight="false" outlineLevel="0" collapsed="false">
      <c r="A18" s="55" t="s">
        <v>39</v>
      </c>
      <c r="C18" s="55" t="n">
        <v>7.4</v>
      </c>
    </row>
    <row r="19" customFormat="false" ht="14.25" hidden="false" customHeight="false" outlineLevel="0" collapsed="false">
      <c r="A19" s="55" t="s">
        <v>41</v>
      </c>
      <c r="B19" s="55" t="n">
        <v>8</v>
      </c>
      <c r="C19" s="55" t="n">
        <v>8</v>
      </c>
    </row>
    <row r="20" customFormat="false" ht="14.25" hidden="false" customHeight="false" outlineLevel="0" collapsed="false">
      <c r="A20" s="55" t="s">
        <v>43</v>
      </c>
    </row>
    <row r="21" customFormat="false" ht="14.25" hidden="false" customHeight="false" outlineLevel="0" collapsed="false">
      <c r="A21" s="55" t="s">
        <v>81</v>
      </c>
    </row>
    <row r="22" customFormat="false" ht="14.25" hidden="false" customHeight="false" outlineLevel="0" collapsed="false">
      <c r="A22" s="55" t="s">
        <v>55</v>
      </c>
      <c r="B22" s="55" t="n">
        <v>8.6</v>
      </c>
      <c r="C22" s="55" t="n">
        <v>8.6</v>
      </c>
    </row>
    <row r="23" customFormat="false" ht="14.25" hidden="false" customHeight="false" outlineLevel="0" collapsed="false">
      <c r="A23" s="55" t="s">
        <v>59</v>
      </c>
    </row>
    <row r="24" customFormat="false" ht="14.25" hidden="false" customHeight="false" outlineLevel="0" collapsed="false">
      <c r="A24" s="55" t="s">
        <v>79</v>
      </c>
      <c r="C24" s="55" t="n">
        <v>8.3</v>
      </c>
    </row>
    <row r="25" customFormat="false" ht="14.25" hidden="false" customHeight="false" outlineLevel="0" collapsed="false">
      <c r="A25" s="55" t="s">
        <v>49</v>
      </c>
    </row>
    <row r="26" customFormat="false" ht="14.25" hidden="false" customHeight="false" outlineLevel="0" collapsed="false">
      <c r="A26" s="55" t="s">
        <v>77</v>
      </c>
      <c r="B26" s="55" t="n">
        <v>6.5</v>
      </c>
      <c r="C26" s="55" t="n">
        <v>6</v>
      </c>
    </row>
    <row r="27" customFormat="false" ht="14.25" hidden="false" customHeight="false" outlineLevel="0" collapsed="false">
      <c r="A27" s="55" t="s">
        <v>47</v>
      </c>
    </row>
    <row r="28" customFormat="false" ht="14.25" hidden="false" customHeight="false" outlineLevel="0" collapsed="false">
      <c r="A28" s="55" t="s">
        <v>45</v>
      </c>
    </row>
    <row r="29" customFormat="false" ht="14.25" hidden="false" customHeight="false" outlineLevel="0" collapsed="false">
      <c r="A29" s="55" t="s">
        <v>67</v>
      </c>
      <c r="B29" s="55" t="n">
        <v>7.5</v>
      </c>
    </row>
    <row r="30" customFormat="false" ht="14.25" hidden="false" customHeight="false" outlineLevel="0" collapsed="false">
      <c r="A30" s="55" t="s">
        <v>53</v>
      </c>
      <c r="B30" s="55" t="n">
        <v>8.6</v>
      </c>
      <c r="C30" s="55" t="n">
        <v>9.3</v>
      </c>
    </row>
    <row r="31" customFormat="false" ht="14.25" hidden="false" customHeight="false" outlineLevel="0" collapsed="false">
      <c r="A31" s="55" t="s">
        <v>57</v>
      </c>
    </row>
    <row r="32" customFormat="false" ht="14.25" hidden="false" customHeight="false" outlineLevel="0" collapsed="false">
      <c r="A32" s="55" t="s">
        <v>61</v>
      </c>
    </row>
    <row r="33" customFormat="false" ht="14.25" hidden="false" customHeight="false" outlineLevel="0" collapsed="false">
      <c r="A33" s="55" t="s">
        <v>65</v>
      </c>
      <c r="B33" s="55" t="n">
        <v>2.9</v>
      </c>
      <c r="C33" s="55" t="n">
        <v>3.8</v>
      </c>
    </row>
    <row r="34" customFormat="false" ht="14.25" hidden="false" customHeight="false" outlineLevel="0" collapsed="false">
      <c r="A34" s="55" t="s">
        <v>71</v>
      </c>
      <c r="B34" s="55" t="n">
        <v>3</v>
      </c>
      <c r="C34" s="55" t="n">
        <v>3.6</v>
      </c>
    </row>
    <row r="35" customFormat="false" ht="14.25" hidden="false" customHeight="false" outlineLevel="0" collapsed="false">
      <c r="A35" s="55" t="s">
        <v>51</v>
      </c>
    </row>
    <row r="36" customFormat="false" ht="14.25" hidden="false" customHeight="false" outlineLevel="0" collapsed="false">
      <c r="A36" s="55" t="s">
        <v>75</v>
      </c>
    </row>
    <row r="37" customFormat="false" ht="14.25" hidden="false" customHeight="false" outlineLevel="0" collapsed="false">
      <c r="A37" s="55" t="s">
        <v>63</v>
      </c>
      <c r="B37" s="55" t="n">
        <v>6.7</v>
      </c>
    </row>
    <row r="38" customFormat="false" ht="14.25" hidden="false" customHeight="false" outlineLevel="0" collapsed="false">
      <c r="A38" s="55" t="s">
        <v>69</v>
      </c>
    </row>
    <row r="39" customFormat="false" ht="14.25" hidden="false" customHeight="false" outlineLevel="0" collapsed="false">
      <c r="A39" s="55" t="s">
        <v>93</v>
      </c>
    </row>
    <row r="40" customFormat="false" ht="14.25" hidden="false" customHeight="false" outlineLevel="0" collapsed="false">
      <c r="A40" s="55" t="s">
        <v>89</v>
      </c>
      <c r="B40" s="55" t="n">
        <v>7.2</v>
      </c>
      <c r="C40" s="55" t="n">
        <v>7.1</v>
      </c>
    </row>
    <row r="41" customFormat="false" ht="14.25" hidden="false" customHeight="false" outlineLevel="0" collapsed="false">
      <c r="A41" s="55" t="s">
        <v>461</v>
      </c>
    </row>
    <row r="42" customFormat="false" ht="14.25" hidden="false" customHeight="false" outlineLevel="0" collapsed="false">
      <c r="A42" s="55" t="s">
        <v>395</v>
      </c>
      <c r="B42" s="55" t="n">
        <v>7.4</v>
      </c>
      <c r="C42" s="55" t="n">
        <v>7.8</v>
      </c>
    </row>
    <row r="43" customFormat="false" ht="14.25" hidden="false" customHeight="false" outlineLevel="0" collapsed="false">
      <c r="A43" s="55" t="s">
        <v>97</v>
      </c>
    </row>
    <row r="44" customFormat="false" ht="14.25" hidden="false" customHeight="false" outlineLevel="0" collapsed="false">
      <c r="A44" s="55" t="s">
        <v>99</v>
      </c>
    </row>
    <row r="45" customFormat="false" ht="14.25" hidden="false" customHeight="false" outlineLevel="0" collapsed="false">
      <c r="A45" s="55" t="s">
        <v>101</v>
      </c>
      <c r="C45" s="55" t="n">
        <v>6.2</v>
      </c>
    </row>
    <row r="46" customFormat="false" ht="14.25" hidden="false" customHeight="false" outlineLevel="0" collapsed="false">
      <c r="A46" s="55" t="s">
        <v>113</v>
      </c>
    </row>
    <row r="47" customFormat="false" ht="14.25" hidden="false" customHeight="false" outlineLevel="0" collapsed="false">
      <c r="A47" s="55" t="s">
        <v>87</v>
      </c>
      <c r="B47" s="55" t="n">
        <v>5.8</v>
      </c>
      <c r="C47" s="55" t="n">
        <v>4.5</v>
      </c>
    </row>
    <row r="48" customFormat="false" ht="14.25" hidden="false" customHeight="false" outlineLevel="0" collapsed="false">
      <c r="A48" s="55" t="s">
        <v>107</v>
      </c>
    </row>
    <row r="49" customFormat="false" ht="14.25" hidden="false" customHeight="false" outlineLevel="0" collapsed="false">
      <c r="A49" s="55" t="s">
        <v>109</v>
      </c>
    </row>
    <row r="50" customFormat="false" ht="14.25" hidden="false" customHeight="false" outlineLevel="0" collapsed="false">
      <c r="A50" s="55" t="s">
        <v>103</v>
      </c>
      <c r="C50" s="55" t="n">
        <v>3.6</v>
      </c>
    </row>
    <row r="51" customFormat="false" ht="14.25" hidden="false" customHeight="false" outlineLevel="0" collapsed="false">
      <c r="A51" s="55" t="s">
        <v>105</v>
      </c>
      <c r="C51" s="55" t="n">
        <v>4.5</v>
      </c>
    </row>
    <row r="52" customFormat="false" ht="14.25" hidden="false" customHeight="false" outlineLevel="0" collapsed="false">
      <c r="A52" s="55" t="s">
        <v>83</v>
      </c>
      <c r="B52" s="55" t="n">
        <v>5</v>
      </c>
    </row>
    <row r="53" customFormat="false" ht="14.25" hidden="false" customHeight="false" outlineLevel="0" collapsed="false">
      <c r="A53" s="55" t="s">
        <v>111</v>
      </c>
      <c r="B53" s="55" t="n">
        <v>4.3</v>
      </c>
      <c r="C53" s="55" t="n">
        <v>4.2</v>
      </c>
    </row>
    <row r="54" customFormat="false" ht="14.25" hidden="false" customHeight="false" outlineLevel="0" collapsed="false">
      <c r="A54" s="55" t="s">
        <v>459</v>
      </c>
    </row>
    <row r="55" customFormat="false" ht="14.25" hidden="false" customHeight="false" outlineLevel="0" collapsed="false">
      <c r="A55" s="55" t="s">
        <v>117</v>
      </c>
    </row>
    <row r="56" customFormat="false" ht="14.25" hidden="false" customHeight="false" outlineLevel="0" collapsed="false">
      <c r="A56" s="55" t="s">
        <v>119</v>
      </c>
    </row>
    <row r="57" customFormat="false" ht="14.25" hidden="false" customHeight="false" outlineLevel="0" collapsed="false">
      <c r="A57" s="55" t="s">
        <v>91</v>
      </c>
    </row>
    <row r="58" customFormat="false" ht="14.25" hidden="false" customHeight="false" outlineLevel="0" collapsed="false">
      <c r="A58" s="55" t="s">
        <v>121</v>
      </c>
      <c r="B58" s="55" t="n">
        <v>8.7</v>
      </c>
      <c r="C58" s="55" t="n">
        <v>7.6</v>
      </c>
    </row>
    <row r="59" customFormat="false" ht="14.25" hidden="false" customHeight="false" outlineLevel="0" collapsed="false">
      <c r="A59" s="55" t="s">
        <v>123</v>
      </c>
      <c r="B59" s="55" t="n">
        <v>9.7</v>
      </c>
      <c r="C59" s="55" t="n">
        <v>9.7</v>
      </c>
    </row>
    <row r="60" customFormat="false" ht="14.25" hidden="false" customHeight="false" outlineLevel="0" collapsed="false">
      <c r="A60" s="55" t="s">
        <v>165</v>
      </c>
      <c r="B60" s="55" t="n">
        <v>8.3</v>
      </c>
      <c r="C60" s="55" t="n">
        <v>8.1</v>
      </c>
    </row>
    <row r="61" customFormat="false" ht="14.25" hidden="false" customHeight="false" outlineLevel="0" collapsed="false">
      <c r="A61" s="55" t="s">
        <v>127</v>
      </c>
    </row>
    <row r="62" customFormat="false" ht="14.25" hidden="false" customHeight="false" outlineLevel="0" collapsed="false">
      <c r="A62" s="55" t="s">
        <v>129</v>
      </c>
    </row>
    <row r="63" customFormat="false" ht="14.25" hidden="false" customHeight="false" outlineLevel="0" collapsed="false">
      <c r="A63" s="55" t="s">
        <v>125</v>
      </c>
      <c r="B63" s="55" t="n">
        <v>9.8</v>
      </c>
      <c r="C63" s="55" t="n">
        <v>9.1</v>
      </c>
    </row>
    <row r="64" customFormat="false" ht="14.25" hidden="false" customHeight="false" outlineLevel="0" collapsed="false">
      <c r="A64" s="55" t="s">
        <v>131</v>
      </c>
      <c r="B64" s="55" t="n">
        <v>4.4</v>
      </c>
      <c r="C64" s="55" t="n">
        <v>5.1</v>
      </c>
    </row>
    <row r="65" customFormat="false" ht="14.25" hidden="false" customHeight="false" outlineLevel="0" collapsed="false">
      <c r="A65" s="55" t="s">
        <v>23</v>
      </c>
    </row>
    <row r="66" customFormat="false" ht="14.25" hidden="false" customHeight="false" outlineLevel="0" collapsed="false">
      <c r="A66" s="55" t="s">
        <v>467</v>
      </c>
    </row>
    <row r="67" customFormat="false" ht="14.25" hidden="false" customHeight="false" outlineLevel="0" collapsed="false">
      <c r="A67" s="55" t="s">
        <v>463</v>
      </c>
    </row>
    <row r="68" customFormat="false" ht="14.25" hidden="false" customHeight="false" outlineLevel="0" collapsed="false">
      <c r="A68" s="55" t="s">
        <v>465</v>
      </c>
    </row>
    <row r="69" customFormat="false" ht="14.25" hidden="false" customHeight="false" outlineLevel="0" collapsed="false">
      <c r="A69" s="55" t="s">
        <v>475</v>
      </c>
    </row>
    <row r="70" customFormat="false" ht="14.25" hidden="false" customHeight="false" outlineLevel="0" collapsed="false">
      <c r="A70" s="55" t="s">
        <v>473</v>
      </c>
    </row>
    <row r="71" customFormat="false" ht="14.25" hidden="false" customHeight="false" outlineLevel="0" collapsed="false">
      <c r="A71" s="55" t="s">
        <v>133</v>
      </c>
      <c r="B71" s="55" t="n">
        <v>3.5</v>
      </c>
      <c r="C71" s="55" t="n">
        <v>4.8</v>
      </c>
    </row>
    <row r="72" customFormat="false" ht="14.25" hidden="false" customHeight="false" outlineLevel="0" collapsed="false">
      <c r="A72" s="55" t="s">
        <v>135</v>
      </c>
    </row>
    <row r="73" customFormat="false" ht="14.25" hidden="false" customHeight="false" outlineLevel="0" collapsed="false">
      <c r="A73" s="55" t="s">
        <v>471</v>
      </c>
    </row>
    <row r="74" customFormat="false" ht="14.25" hidden="false" customHeight="false" outlineLevel="0" collapsed="false">
      <c r="A74" s="55" t="s">
        <v>141</v>
      </c>
    </row>
    <row r="75" customFormat="false" ht="14.25" hidden="false" customHeight="false" outlineLevel="0" collapsed="false">
      <c r="A75" s="55" t="s">
        <v>377</v>
      </c>
      <c r="B75" s="55" t="n">
        <v>6.7</v>
      </c>
      <c r="C75" s="55" t="n">
        <v>5.7</v>
      </c>
    </row>
    <row r="76" customFormat="false" ht="14.25" hidden="false" customHeight="false" outlineLevel="0" collapsed="false">
      <c r="A76" s="55" t="s">
        <v>143</v>
      </c>
      <c r="B76" s="55" t="n">
        <v>8</v>
      </c>
      <c r="C76" s="55" t="n">
        <v>7</v>
      </c>
    </row>
    <row r="77" customFormat="false" ht="14.25" hidden="false" customHeight="false" outlineLevel="0" collapsed="false">
      <c r="A77" s="55" t="s">
        <v>147</v>
      </c>
    </row>
    <row r="78" customFormat="false" ht="14.25" hidden="false" customHeight="false" outlineLevel="0" collapsed="false">
      <c r="A78" s="55" t="s">
        <v>479</v>
      </c>
    </row>
    <row r="79" customFormat="false" ht="14.25" hidden="false" customHeight="false" outlineLevel="0" collapsed="false">
      <c r="A79" s="55" t="s">
        <v>481</v>
      </c>
    </row>
    <row r="80" customFormat="false" ht="14.25" hidden="false" customHeight="false" outlineLevel="0" collapsed="false">
      <c r="A80" s="55" t="s">
        <v>153</v>
      </c>
      <c r="B80" s="55" t="n">
        <v>9.2</v>
      </c>
      <c r="C80" s="55" t="n">
        <v>9.4</v>
      </c>
    </row>
    <row r="81" customFormat="false" ht="14.25" hidden="false" customHeight="false" outlineLevel="0" collapsed="false">
      <c r="A81" s="55" t="s">
        <v>151</v>
      </c>
    </row>
    <row r="82" customFormat="false" ht="14.25" hidden="false" customHeight="false" outlineLevel="0" collapsed="false">
      <c r="A82" s="55" t="s">
        <v>155</v>
      </c>
      <c r="B82" s="55" t="n">
        <v>8.1</v>
      </c>
      <c r="C82" s="55" t="n">
        <v>8</v>
      </c>
    </row>
    <row r="83" customFormat="false" ht="14.25" hidden="false" customHeight="false" outlineLevel="0" collapsed="false">
      <c r="A83" s="55" t="s">
        <v>149</v>
      </c>
    </row>
    <row r="84" customFormat="false" ht="14.25" hidden="false" customHeight="false" outlineLevel="0" collapsed="false">
      <c r="A84" s="55" t="s">
        <v>275</v>
      </c>
    </row>
    <row r="85" customFormat="false" ht="14.25" hidden="false" customHeight="false" outlineLevel="0" collapsed="false">
      <c r="A85" s="55" t="s">
        <v>159</v>
      </c>
    </row>
    <row r="86" customFormat="false" ht="14.25" hidden="false" customHeight="false" outlineLevel="0" collapsed="false">
      <c r="A86" s="55" t="s">
        <v>429</v>
      </c>
      <c r="B86" s="55" t="n">
        <v>6.9</v>
      </c>
      <c r="C86" s="55" t="n">
        <v>7.3</v>
      </c>
    </row>
    <row r="87" customFormat="false" ht="14.25" hidden="false" customHeight="false" outlineLevel="0" collapsed="false">
      <c r="A87" s="55" t="s">
        <v>163</v>
      </c>
      <c r="B87" s="55" t="n">
        <v>6.2</v>
      </c>
      <c r="C87" s="55" t="n">
        <v>6.4</v>
      </c>
    </row>
    <row r="88" customFormat="false" ht="14.25" hidden="false" customHeight="false" outlineLevel="0" collapsed="false">
      <c r="A88" s="55" t="s">
        <v>167</v>
      </c>
    </row>
    <row r="89" customFormat="false" ht="14.25" hidden="false" customHeight="false" outlineLevel="0" collapsed="false">
      <c r="A89" s="55" t="s">
        <v>169</v>
      </c>
    </row>
    <row r="90" customFormat="false" ht="14.25" hidden="false" customHeight="false" outlineLevel="0" collapsed="false">
      <c r="A90" s="55" t="s">
        <v>181</v>
      </c>
      <c r="B90" s="55" t="n">
        <v>6.3</v>
      </c>
    </row>
    <row r="91" customFormat="false" ht="14.25" hidden="false" customHeight="false" outlineLevel="0" collapsed="false">
      <c r="A91" s="55" t="s">
        <v>161</v>
      </c>
    </row>
    <row r="92" customFormat="false" ht="14.25" hidden="false" customHeight="false" outlineLevel="0" collapsed="false">
      <c r="A92" s="55" t="s">
        <v>183</v>
      </c>
    </row>
    <row r="93" customFormat="false" ht="14.25" hidden="false" customHeight="false" outlineLevel="0" collapsed="false">
      <c r="A93" s="55" t="s">
        <v>139</v>
      </c>
    </row>
    <row r="94" customFormat="false" ht="14.25" hidden="false" customHeight="false" outlineLevel="0" collapsed="false">
      <c r="A94" s="55" t="s">
        <v>171</v>
      </c>
      <c r="B94" s="55" t="n">
        <v>7</v>
      </c>
      <c r="C94" s="55" t="n">
        <v>5.9</v>
      </c>
    </row>
    <row r="95" customFormat="false" ht="14.25" hidden="false" customHeight="false" outlineLevel="0" collapsed="false">
      <c r="A95" s="55" t="s">
        <v>175</v>
      </c>
    </row>
    <row r="96" customFormat="false" ht="14.25" hidden="false" customHeight="false" outlineLevel="0" collapsed="false">
      <c r="A96" s="55" t="s">
        <v>173</v>
      </c>
    </row>
    <row r="97" customFormat="false" ht="14.25" hidden="false" customHeight="false" outlineLevel="0" collapsed="false">
      <c r="A97" s="55" t="s">
        <v>179</v>
      </c>
      <c r="C97" s="55" t="n">
        <v>4.5</v>
      </c>
    </row>
    <row r="98" customFormat="false" ht="14.25" hidden="false" customHeight="false" outlineLevel="0" collapsed="false">
      <c r="A98" s="55" t="s">
        <v>177</v>
      </c>
    </row>
    <row r="99" customFormat="false" ht="14.25" hidden="false" customHeight="false" outlineLevel="0" collapsed="false">
      <c r="A99" s="55" t="s">
        <v>185</v>
      </c>
    </row>
    <row r="100" customFormat="false" ht="14.25" hidden="false" customHeight="false" outlineLevel="0" collapsed="false">
      <c r="A100" s="55" t="s">
        <v>485</v>
      </c>
    </row>
    <row r="101" customFormat="false" ht="14.25" hidden="false" customHeight="false" outlineLevel="0" collapsed="false">
      <c r="A101" s="55" t="s">
        <v>191</v>
      </c>
    </row>
    <row r="102" customFormat="false" ht="14.25" hidden="false" customHeight="false" outlineLevel="0" collapsed="false">
      <c r="A102" s="55" t="s">
        <v>189</v>
      </c>
      <c r="B102" s="55" t="n">
        <v>2.8</v>
      </c>
      <c r="C102" s="55" t="n">
        <v>3.7</v>
      </c>
    </row>
    <row r="103" customFormat="false" ht="14.25" hidden="false" customHeight="false" outlineLevel="0" collapsed="false">
      <c r="A103" s="55" t="s">
        <v>483</v>
      </c>
    </row>
    <row r="104" customFormat="false" ht="14.25" hidden="false" customHeight="false" outlineLevel="0" collapsed="false">
      <c r="A104" s="55" t="s">
        <v>115</v>
      </c>
      <c r="C104" s="55" t="n">
        <v>7.1</v>
      </c>
    </row>
    <row r="105" customFormat="false" ht="14.25" hidden="false" customHeight="false" outlineLevel="0" collapsed="false">
      <c r="A105" s="55" t="s">
        <v>187</v>
      </c>
    </row>
    <row r="106" customFormat="false" ht="14.25" hidden="false" customHeight="false" outlineLevel="0" collapsed="false">
      <c r="A106" s="55" t="s">
        <v>193</v>
      </c>
      <c r="B106" s="55" t="n">
        <v>8.7</v>
      </c>
      <c r="C106" s="55" t="n">
        <v>7.6</v>
      </c>
    </row>
    <row r="107" customFormat="false" ht="14.25" hidden="false" customHeight="false" outlineLevel="0" collapsed="false">
      <c r="A107" s="55" t="s">
        <v>487</v>
      </c>
    </row>
    <row r="108" customFormat="false" ht="14.25" hidden="false" customHeight="false" outlineLevel="0" collapsed="false">
      <c r="A108" s="55" t="s">
        <v>489</v>
      </c>
    </row>
    <row r="109" customFormat="false" ht="14.25" hidden="false" customHeight="false" outlineLevel="0" collapsed="false">
      <c r="A109" s="55" t="s">
        <v>495</v>
      </c>
    </row>
    <row r="110" customFormat="false" ht="14.25" hidden="false" customHeight="false" outlineLevel="0" collapsed="false">
      <c r="A110" s="55" t="s">
        <v>491</v>
      </c>
    </row>
    <row r="111" customFormat="false" ht="14.25" hidden="false" customHeight="false" outlineLevel="0" collapsed="false">
      <c r="A111" s="55" t="s">
        <v>199</v>
      </c>
      <c r="B111" s="55" t="n">
        <v>7.8</v>
      </c>
      <c r="C111" s="55" t="n">
        <v>7.2</v>
      </c>
    </row>
    <row r="112" customFormat="false" ht="14.25" hidden="false" customHeight="false" outlineLevel="0" collapsed="false">
      <c r="A112" s="55" t="s">
        <v>493</v>
      </c>
    </row>
    <row r="113" customFormat="false" ht="14.25" hidden="false" customHeight="false" outlineLevel="0" collapsed="false">
      <c r="A113" s="55" t="s">
        <v>207</v>
      </c>
    </row>
    <row r="114" customFormat="false" ht="14.25" hidden="false" customHeight="false" outlineLevel="0" collapsed="false">
      <c r="A114" s="55" t="s">
        <v>197</v>
      </c>
    </row>
    <row r="115" customFormat="false" ht="14.25" hidden="false" customHeight="false" outlineLevel="0" collapsed="false">
      <c r="A115" s="55" t="s">
        <v>523</v>
      </c>
    </row>
    <row r="116" customFormat="false" ht="14.25" hidden="false" customHeight="false" outlineLevel="0" collapsed="false">
      <c r="A116" s="55" t="s">
        <v>205</v>
      </c>
      <c r="B116" s="55" t="n">
        <v>8.2</v>
      </c>
      <c r="C116" s="55" t="n">
        <v>7.9</v>
      </c>
    </row>
    <row r="117" customFormat="false" ht="14.25" hidden="false" customHeight="false" outlineLevel="0" collapsed="false">
      <c r="A117" s="55" t="s">
        <v>201</v>
      </c>
      <c r="C117" s="55" t="n">
        <v>6.3</v>
      </c>
    </row>
    <row r="118" customFormat="false" ht="14.25" hidden="false" customHeight="false" outlineLevel="0" collapsed="false">
      <c r="A118" s="55" t="s">
        <v>203</v>
      </c>
    </row>
    <row r="119" customFormat="false" ht="14.25" hidden="false" customHeight="false" outlineLevel="0" collapsed="false">
      <c r="A119" s="55" t="s">
        <v>195</v>
      </c>
      <c r="B119" s="55" t="n">
        <v>9.1</v>
      </c>
      <c r="C119" s="55" t="n">
        <v>9.4</v>
      </c>
    </row>
    <row r="120" customFormat="false" ht="14.25" hidden="false" customHeight="false" outlineLevel="0" collapsed="false">
      <c r="A120" s="55" t="s">
        <v>209</v>
      </c>
      <c r="B120" s="55" t="n">
        <v>5</v>
      </c>
      <c r="C120" s="55" t="n">
        <v>5</v>
      </c>
    </row>
    <row r="121" customFormat="false" ht="14.25" hidden="false" customHeight="false" outlineLevel="0" collapsed="false">
      <c r="A121" s="55" t="s">
        <v>211</v>
      </c>
      <c r="B121" s="55" t="n">
        <v>7.1</v>
      </c>
      <c r="C121" s="55" t="n">
        <v>6.2</v>
      </c>
    </row>
    <row r="122" customFormat="false" ht="14.25" hidden="false" customHeight="false" outlineLevel="0" collapsed="false">
      <c r="A122" s="55" t="s">
        <v>213</v>
      </c>
    </row>
    <row r="123" customFormat="false" ht="14.25" hidden="false" customHeight="false" outlineLevel="0" collapsed="false">
      <c r="A123" s="55" t="s">
        <v>217</v>
      </c>
    </row>
    <row r="124" customFormat="false" ht="14.25" hidden="false" customHeight="false" outlineLevel="0" collapsed="false">
      <c r="A124" s="55" t="s">
        <v>215</v>
      </c>
    </row>
    <row r="125" customFormat="false" ht="14.25" hidden="false" customHeight="false" outlineLevel="0" collapsed="false">
      <c r="A125" s="55" t="s">
        <v>219</v>
      </c>
      <c r="B125" s="55" t="n">
        <v>8.9</v>
      </c>
      <c r="C125" s="55" t="n">
        <v>9.9</v>
      </c>
    </row>
    <row r="126" customFormat="false" ht="14.25" hidden="false" customHeight="false" outlineLevel="0" collapsed="false">
      <c r="A126" s="55" t="s">
        <v>221</v>
      </c>
    </row>
    <row r="127" customFormat="false" ht="14.25" hidden="false" customHeight="false" outlineLevel="0" collapsed="false">
      <c r="A127" s="55" t="s">
        <v>233</v>
      </c>
      <c r="B127" s="55" t="n">
        <v>7.6</v>
      </c>
      <c r="C127" s="55" t="n">
        <v>10</v>
      </c>
    </row>
    <row r="128" customFormat="false" ht="14.25" hidden="false" customHeight="false" outlineLevel="0" collapsed="false">
      <c r="A128" s="55" t="s">
        <v>85</v>
      </c>
    </row>
    <row r="129" customFormat="false" ht="14.25" hidden="false" customHeight="false" outlineLevel="0" collapsed="false">
      <c r="A129" s="55" t="s">
        <v>223</v>
      </c>
    </row>
    <row r="130" customFormat="false" ht="14.25" hidden="false" customHeight="false" outlineLevel="0" collapsed="false">
      <c r="A130" s="55" t="s">
        <v>381</v>
      </c>
    </row>
    <row r="131" customFormat="false" ht="14.25" hidden="false" customHeight="false" outlineLevel="0" collapsed="false">
      <c r="A131" s="55" t="s">
        <v>227</v>
      </c>
      <c r="C131" s="55" t="n">
        <v>7.5</v>
      </c>
    </row>
    <row r="132" customFormat="false" ht="14.25" hidden="false" customHeight="false" outlineLevel="0" collapsed="false">
      <c r="A132" s="55" t="s">
        <v>231</v>
      </c>
    </row>
    <row r="133" customFormat="false" ht="14.25" hidden="false" customHeight="false" outlineLevel="0" collapsed="false">
      <c r="A133" s="55" t="s">
        <v>501</v>
      </c>
    </row>
    <row r="134" customFormat="false" ht="14.25" hidden="false" customHeight="false" outlineLevel="0" collapsed="false">
      <c r="A134" s="55" t="s">
        <v>235</v>
      </c>
      <c r="B134" s="55" t="n">
        <v>8</v>
      </c>
    </row>
    <row r="135" customFormat="false" ht="14.25" hidden="false" customHeight="false" outlineLevel="0" collapsed="false">
      <c r="A135" s="55" t="s">
        <v>239</v>
      </c>
    </row>
    <row r="136" customFormat="false" ht="14.25" hidden="false" customHeight="false" outlineLevel="0" collapsed="false">
      <c r="A136" s="55" t="s">
        <v>243</v>
      </c>
      <c r="B136" s="55" t="n">
        <v>6.5</v>
      </c>
      <c r="C136" s="55" t="n">
        <v>7.8</v>
      </c>
    </row>
    <row r="137" customFormat="false" ht="14.25" hidden="false" customHeight="false" outlineLevel="0" collapsed="false">
      <c r="A137" s="55" t="s">
        <v>245</v>
      </c>
    </row>
    <row r="138" customFormat="false" ht="14.25" hidden="false" customHeight="false" outlineLevel="0" collapsed="false">
      <c r="A138" s="55" t="s">
        <v>383</v>
      </c>
    </row>
    <row r="139" customFormat="false" ht="14.25" hidden="false" customHeight="false" outlineLevel="0" collapsed="false">
      <c r="A139" s="55" t="s">
        <v>499</v>
      </c>
    </row>
    <row r="140" customFormat="false" ht="14.25" hidden="false" customHeight="false" outlineLevel="0" collapsed="false">
      <c r="A140" s="55" t="s">
        <v>505</v>
      </c>
    </row>
    <row r="141" customFormat="false" ht="14.25" hidden="false" customHeight="false" outlineLevel="0" collapsed="false">
      <c r="A141" s="55" t="s">
        <v>509</v>
      </c>
    </row>
    <row r="142" customFormat="false" ht="14.25" hidden="false" customHeight="false" outlineLevel="0" collapsed="false">
      <c r="A142" s="55" t="s">
        <v>247</v>
      </c>
    </row>
    <row r="143" customFormat="false" ht="14.25" hidden="false" customHeight="false" outlineLevel="0" collapsed="false">
      <c r="A143" s="55" t="s">
        <v>379</v>
      </c>
    </row>
    <row r="144" customFormat="false" ht="14.25" hidden="false" customHeight="false" outlineLevel="0" collapsed="false">
      <c r="A144" s="55" t="s">
        <v>511</v>
      </c>
    </row>
    <row r="145" customFormat="false" ht="14.25" hidden="false" customHeight="false" outlineLevel="0" collapsed="false">
      <c r="A145" s="55" t="s">
        <v>507</v>
      </c>
    </row>
    <row r="146" customFormat="false" ht="14.25" hidden="false" customHeight="false" outlineLevel="0" collapsed="false">
      <c r="A146" s="55" t="s">
        <v>241</v>
      </c>
    </row>
    <row r="147" customFormat="false" ht="14.25" hidden="false" customHeight="false" outlineLevel="0" collapsed="false">
      <c r="A147" s="55" t="s">
        <v>497</v>
      </c>
    </row>
    <row r="148" customFormat="false" ht="14.25" hidden="false" customHeight="false" outlineLevel="0" collapsed="false">
      <c r="A148" s="55" t="s">
        <v>249</v>
      </c>
      <c r="B148" s="55" t="n">
        <v>6.8</v>
      </c>
      <c r="C148" s="55" t="n">
        <v>6</v>
      </c>
    </row>
    <row r="149" customFormat="false" ht="14.25" hidden="false" customHeight="false" outlineLevel="0" collapsed="false">
      <c r="A149" s="55" t="s">
        <v>251</v>
      </c>
      <c r="B149" s="55" t="n">
        <v>8.3</v>
      </c>
      <c r="C149" s="55" t="n">
        <v>7.9</v>
      </c>
    </row>
    <row r="150" customFormat="false" ht="14.25" hidden="false" customHeight="false" outlineLevel="0" collapsed="false">
      <c r="A150" s="55" t="s">
        <v>237</v>
      </c>
      <c r="B150" s="55" t="n">
        <v>6.4</v>
      </c>
      <c r="C150" s="55" t="n">
        <v>6.6</v>
      </c>
    </row>
    <row r="151" customFormat="false" ht="14.25" hidden="false" customHeight="false" outlineLevel="0" collapsed="false">
      <c r="A151" s="55" t="s">
        <v>253</v>
      </c>
    </row>
    <row r="152" customFormat="false" ht="14.25" hidden="false" customHeight="false" outlineLevel="0" collapsed="false">
      <c r="A152" s="55" t="s">
        <v>385</v>
      </c>
    </row>
    <row r="153" customFormat="false" ht="14.25" hidden="false" customHeight="false" outlineLevel="0" collapsed="false">
      <c r="A153" s="55" t="s">
        <v>285</v>
      </c>
    </row>
    <row r="154" customFormat="false" ht="14.25" hidden="false" customHeight="false" outlineLevel="0" collapsed="false">
      <c r="A154" s="55" t="s">
        <v>279</v>
      </c>
    </row>
    <row r="155" customFormat="false" ht="14.25" hidden="false" customHeight="false" outlineLevel="0" collapsed="false">
      <c r="A155" s="55" t="s">
        <v>277</v>
      </c>
      <c r="B155" s="55" t="n">
        <v>7.4</v>
      </c>
      <c r="C155" s="55" t="n">
        <v>9.7</v>
      </c>
    </row>
    <row r="156" customFormat="false" ht="14.25" hidden="false" customHeight="false" outlineLevel="0" collapsed="false">
      <c r="A156" s="55" t="s">
        <v>255</v>
      </c>
    </row>
    <row r="157" customFormat="false" ht="14.25" hidden="false" customHeight="false" outlineLevel="0" collapsed="false">
      <c r="A157" s="55" t="s">
        <v>261</v>
      </c>
    </row>
    <row r="158" customFormat="false" ht="14.25" hidden="false" customHeight="false" outlineLevel="0" collapsed="false">
      <c r="A158" s="55" t="s">
        <v>513</v>
      </c>
    </row>
    <row r="159" customFormat="false" ht="14.25" hidden="false" customHeight="false" outlineLevel="0" collapsed="false">
      <c r="A159" s="55" t="s">
        <v>273</v>
      </c>
      <c r="C159" s="55" t="n">
        <v>4.7</v>
      </c>
    </row>
    <row r="160" customFormat="false" ht="14.25" hidden="false" customHeight="false" outlineLevel="0" collapsed="false">
      <c r="A160" s="55" t="s">
        <v>267</v>
      </c>
    </row>
    <row r="161" customFormat="false" ht="14.25" hidden="false" customHeight="false" outlineLevel="0" collapsed="false">
      <c r="A161" s="55" t="s">
        <v>519</v>
      </c>
    </row>
    <row r="162" customFormat="false" ht="14.25" hidden="false" customHeight="false" outlineLevel="0" collapsed="false">
      <c r="A162" s="55" t="s">
        <v>309</v>
      </c>
      <c r="C162" s="55" t="n">
        <v>5.8</v>
      </c>
    </row>
    <row r="163" customFormat="false" ht="14.25" hidden="false" customHeight="false" outlineLevel="0" collapsed="false">
      <c r="A163" s="55" t="s">
        <v>263</v>
      </c>
    </row>
    <row r="164" customFormat="false" ht="14.25" hidden="false" customHeight="false" outlineLevel="0" collapsed="false">
      <c r="A164" s="55" t="s">
        <v>265</v>
      </c>
      <c r="B164" s="55" t="n">
        <v>8.3</v>
      </c>
      <c r="C164" s="55" t="n">
        <v>8.6</v>
      </c>
    </row>
    <row r="165" customFormat="false" ht="14.25" hidden="false" customHeight="false" outlineLevel="0" collapsed="false">
      <c r="A165" s="55" t="s">
        <v>289</v>
      </c>
    </row>
    <row r="166" customFormat="false" ht="14.25" hidden="false" customHeight="false" outlineLevel="0" collapsed="false">
      <c r="A166" s="55" t="s">
        <v>515</v>
      </c>
    </row>
    <row r="167" customFormat="false" ht="14.25" hidden="false" customHeight="false" outlineLevel="0" collapsed="false">
      <c r="A167" s="55" t="s">
        <v>283</v>
      </c>
      <c r="C167" s="55" t="n">
        <v>5.1</v>
      </c>
    </row>
    <row r="168" customFormat="false" ht="14.25" hidden="false" customHeight="false" outlineLevel="0" collapsed="false">
      <c r="A168" s="55" t="s">
        <v>281</v>
      </c>
      <c r="B168" s="55" t="n">
        <v>7.3</v>
      </c>
      <c r="C168" s="55" t="n">
        <v>8.1</v>
      </c>
    </row>
    <row r="169" customFormat="false" ht="14.25" hidden="false" customHeight="false" outlineLevel="0" collapsed="false">
      <c r="A169" s="55" t="s">
        <v>311</v>
      </c>
    </row>
    <row r="170" customFormat="false" ht="14.25" hidden="false" customHeight="false" outlineLevel="0" collapsed="false">
      <c r="A170" s="55" t="s">
        <v>287</v>
      </c>
      <c r="C170" s="55" t="n">
        <v>4.2</v>
      </c>
    </row>
    <row r="171" customFormat="false" ht="14.25" hidden="false" customHeight="false" outlineLevel="0" collapsed="false">
      <c r="A171" s="55" t="s">
        <v>269</v>
      </c>
      <c r="C171" s="55" t="n">
        <v>7.5</v>
      </c>
    </row>
    <row r="172" customFormat="false" ht="14.25" hidden="false" customHeight="false" outlineLevel="0" collapsed="false">
      <c r="A172" s="55" t="s">
        <v>271</v>
      </c>
    </row>
    <row r="173" customFormat="false" ht="14.25" hidden="false" customHeight="false" outlineLevel="0" collapsed="false">
      <c r="A173" s="55" t="s">
        <v>257</v>
      </c>
    </row>
    <row r="174" customFormat="false" ht="14.25" hidden="false" customHeight="false" outlineLevel="0" collapsed="false">
      <c r="A174" s="55" t="s">
        <v>259</v>
      </c>
    </row>
    <row r="175" customFormat="false" ht="14.25" hidden="false" customHeight="false" outlineLevel="0" collapsed="false">
      <c r="A175" s="55" t="s">
        <v>521</v>
      </c>
    </row>
    <row r="176" customFormat="false" ht="14.25" hidden="false" customHeight="false" outlineLevel="0" collapsed="false">
      <c r="A176" s="55" t="s">
        <v>291</v>
      </c>
    </row>
    <row r="177" customFormat="false" ht="14.25" hidden="false" customHeight="false" outlineLevel="0" collapsed="false">
      <c r="A177" s="55" t="s">
        <v>299</v>
      </c>
    </row>
    <row r="178" customFormat="false" ht="14.25" hidden="false" customHeight="false" outlineLevel="0" collapsed="false">
      <c r="A178" s="55" t="s">
        <v>305</v>
      </c>
      <c r="B178" s="55" t="n">
        <v>7.7</v>
      </c>
      <c r="C178" s="55" t="n">
        <v>7.8</v>
      </c>
    </row>
    <row r="179" customFormat="false" ht="14.25" hidden="false" customHeight="false" outlineLevel="0" collapsed="false">
      <c r="A179" s="55" t="s">
        <v>307</v>
      </c>
    </row>
    <row r="180" customFormat="false" ht="14.25" hidden="false" customHeight="false" outlineLevel="0" collapsed="false">
      <c r="A180" s="55" t="s">
        <v>303</v>
      </c>
      <c r="C180" s="55" t="n">
        <v>5.1</v>
      </c>
    </row>
    <row r="181" customFormat="false" ht="14.25" hidden="false" customHeight="false" outlineLevel="0" collapsed="false">
      <c r="A181" s="55" t="s">
        <v>297</v>
      </c>
      <c r="B181" s="55" t="n">
        <v>8.8</v>
      </c>
      <c r="C181" s="55" t="n">
        <v>8.8</v>
      </c>
    </row>
    <row r="182" customFormat="false" ht="14.25" hidden="false" customHeight="false" outlineLevel="0" collapsed="false">
      <c r="A182" s="55" t="s">
        <v>313</v>
      </c>
      <c r="B182" s="55" t="n">
        <v>9.4</v>
      </c>
      <c r="C182" s="55" t="n">
        <v>9.1</v>
      </c>
    </row>
    <row r="183" customFormat="false" ht="14.25" hidden="false" customHeight="false" outlineLevel="0" collapsed="false">
      <c r="A183" s="55" t="s">
        <v>295</v>
      </c>
    </row>
    <row r="184" customFormat="false" ht="14.25" hidden="false" customHeight="false" outlineLevel="0" collapsed="false">
      <c r="A184" s="55" t="s">
        <v>293</v>
      </c>
    </row>
    <row r="185" customFormat="false" ht="14.25" hidden="false" customHeight="false" outlineLevel="0" collapsed="false">
      <c r="A185" s="55" t="s">
        <v>301</v>
      </c>
    </row>
    <row r="186" customFormat="false" ht="14.25" hidden="false" customHeight="false" outlineLevel="0" collapsed="false">
      <c r="A186" s="55" t="s">
        <v>525</v>
      </c>
    </row>
    <row r="187" customFormat="false" ht="14.25" hidden="false" customHeight="false" outlineLevel="0" collapsed="false">
      <c r="A187" s="55" t="s">
        <v>315</v>
      </c>
    </row>
    <row r="188" customFormat="false" ht="14.25" hidden="false" customHeight="false" outlineLevel="0" collapsed="false">
      <c r="A188" s="55" t="s">
        <v>527</v>
      </c>
    </row>
    <row r="189" customFormat="false" ht="14.25" hidden="false" customHeight="false" outlineLevel="0" collapsed="false">
      <c r="A189" s="55" t="s">
        <v>317</v>
      </c>
      <c r="B189" s="55" t="n">
        <v>9.2</v>
      </c>
    </row>
    <row r="190" customFormat="false" ht="14.25" hidden="false" customHeight="false" outlineLevel="0" collapsed="false">
      <c r="A190" s="55" t="s">
        <v>321</v>
      </c>
      <c r="B190" s="55" t="n">
        <v>3</v>
      </c>
      <c r="C190" s="55" t="n">
        <v>3.4</v>
      </c>
    </row>
    <row r="191" customFormat="false" ht="14.25" hidden="false" customHeight="false" outlineLevel="0" collapsed="false">
      <c r="A191" s="55" t="s">
        <v>327</v>
      </c>
      <c r="B191" s="55" t="n">
        <v>3.5</v>
      </c>
      <c r="C191" s="55" t="n">
        <v>4.7</v>
      </c>
    </row>
    <row r="192" customFormat="false" ht="14.25" hidden="false" customHeight="false" outlineLevel="0" collapsed="false">
      <c r="A192" s="55" t="s">
        <v>329</v>
      </c>
    </row>
    <row r="193" customFormat="false" ht="14.25" hidden="false" customHeight="false" outlineLevel="0" collapsed="false">
      <c r="A193" s="55" t="s">
        <v>319</v>
      </c>
    </row>
    <row r="194" customFormat="false" ht="14.25" hidden="false" customHeight="false" outlineLevel="0" collapsed="false">
      <c r="A194" s="55" t="s">
        <v>323</v>
      </c>
    </row>
    <row r="195" customFormat="false" ht="14.25" hidden="false" customHeight="false" outlineLevel="0" collapsed="false">
      <c r="A195" s="55" t="s">
        <v>331</v>
      </c>
      <c r="B195" s="55" t="n">
        <v>7.2</v>
      </c>
      <c r="C195" s="55" t="n">
        <v>7.2</v>
      </c>
    </row>
    <row r="196" customFormat="false" ht="14.25" hidden="false" customHeight="false" outlineLevel="0" collapsed="false">
      <c r="A196" s="55" t="s">
        <v>533</v>
      </c>
    </row>
    <row r="197" customFormat="false" ht="14.25" hidden="false" customHeight="false" outlineLevel="0" collapsed="false">
      <c r="A197" s="55" t="s">
        <v>335</v>
      </c>
    </row>
    <row r="198" customFormat="false" ht="14.25" hidden="false" customHeight="false" outlineLevel="0" collapsed="false">
      <c r="A198" s="55" t="s">
        <v>225</v>
      </c>
    </row>
    <row r="199" customFormat="false" ht="14.25" hidden="false" customHeight="false" outlineLevel="0" collapsed="false">
      <c r="A199" s="55" t="s">
        <v>333</v>
      </c>
      <c r="B199" s="55" t="n">
        <v>6.8</v>
      </c>
      <c r="C199" s="55" t="n">
        <v>6.5</v>
      </c>
    </row>
    <row r="200" customFormat="false" ht="14.25" hidden="false" customHeight="false" outlineLevel="0" collapsed="false">
      <c r="A200" s="55" t="s">
        <v>325</v>
      </c>
      <c r="B200" s="55" t="n">
        <v>3.6</v>
      </c>
      <c r="C200" s="55" t="n">
        <v>4</v>
      </c>
    </row>
    <row r="201" customFormat="false" ht="14.25" hidden="false" customHeight="false" outlineLevel="0" collapsed="false">
      <c r="A201" s="55" t="s">
        <v>445</v>
      </c>
      <c r="B201" s="55" t="n">
        <v>7.1</v>
      </c>
    </row>
    <row r="202" customFormat="false" ht="14.25" hidden="false" customHeight="false" outlineLevel="0" collapsed="false">
      <c r="A202" s="55" t="s">
        <v>529</v>
      </c>
    </row>
    <row r="203" customFormat="false" ht="14.25" hidden="false" customHeight="false" outlineLevel="0" collapsed="false">
      <c r="A203" s="55" t="s">
        <v>531</v>
      </c>
    </row>
    <row r="204" customFormat="false" ht="14.25" hidden="false" customHeight="false" outlineLevel="0" collapsed="false">
      <c r="A204" s="55" t="s">
        <v>157</v>
      </c>
    </row>
    <row r="205" customFormat="false" ht="14.25" hidden="false" customHeight="false" outlineLevel="0" collapsed="false">
      <c r="A205" s="55" t="s">
        <v>337</v>
      </c>
    </row>
    <row r="206" customFormat="false" ht="14.25" hidden="false" customHeight="false" outlineLevel="0" collapsed="false">
      <c r="A206" s="55" t="s">
        <v>339</v>
      </c>
      <c r="B206" s="55" t="n">
        <v>5.5</v>
      </c>
      <c r="C206" s="55" t="n">
        <v>4.9</v>
      </c>
    </row>
    <row r="207" customFormat="false" ht="14.25" hidden="false" customHeight="false" outlineLevel="0" collapsed="false">
      <c r="A207" s="55" t="s">
        <v>341</v>
      </c>
      <c r="B207" s="55" t="n">
        <v>5.8</v>
      </c>
      <c r="C207" s="55" t="n">
        <v>6.6</v>
      </c>
    </row>
    <row r="208" customFormat="false" ht="14.25" hidden="false" customHeight="false" outlineLevel="0" collapsed="false">
      <c r="A208" s="55" t="s">
        <v>343</v>
      </c>
    </row>
    <row r="209" customFormat="false" ht="14.25" hidden="false" customHeight="false" outlineLevel="0" collapsed="false">
      <c r="A209" s="55" t="s">
        <v>537</v>
      </c>
    </row>
    <row r="210" customFormat="false" ht="14.25" hidden="false" customHeight="false" outlineLevel="0" collapsed="false">
      <c r="A210" s="55" t="s">
        <v>351</v>
      </c>
    </row>
    <row r="211" customFormat="false" ht="14.25" hidden="false" customHeight="false" outlineLevel="0" collapsed="false">
      <c r="A211" s="55" t="s">
        <v>389</v>
      </c>
      <c r="C211" s="55" t="n">
        <v>7.8</v>
      </c>
    </row>
    <row r="212" customFormat="false" ht="14.25" hidden="false" customHeight="false" outlineLevel="0" collapsed="false">
      <c r="A212" s="55" t="s">
        <v>353</v>
      </c>
    </row>
    <row r="213" customFormat="false" ht="14.25" hidden="false" customHeight="false" outlineLevel="0" collapsed="false">
      <c r="A213" s="55" t="s">
        <v>361</v>
      </c>
    </row>
    <row r="214" customFormat="false" ht="14.25" hidden="false" customHeight="false" outlineLevel="0" collapsed="false">
      <c r="A214" s="55" t="s">
        <v>369</v>
      </c>
    </row>
    <row r="215" customFormat="false" ht="14.25" hidden="false" customHeight="false" outlineLevel="0" collapsed="false">
      <c r="A215" s="55" t="s">
        <v>359</v>
      </c>
    </row>
    <row r="216" customFormat="false" ht="14.25" hidden="false" customHeight="false" outlineLevel="0" collapsed="false">
      <c r="A216" s="55" t="s">
        <v>137</v>
      </c>
      <c r="B216" s="55" t="n">
        <v>5.2</v>
      </c>
      <c r="C216" s="55" t="n">
        <v>5.8</v>
      </c>
    </row>
    <row r="217" customFormat="false" ht="14.25" hidden="false" customHeight="false" outlineLevel="0" collapsed="false">
      <c r="A217" s="55" t="s">
        <v>347</v>
      </c>
    </row>
    <row r="218" customFormat="false" ht="14.25" hidden="false" customHeight="false" outlineLevel="0" collapsed="false">
      <c r="A218" s="55" t="s">
        <v>371</v>
      </c>
    </row>
    <row r="219" customFormat="false" ht="14.25" hidden="false" customHeight="false" outlineLevel="0" collapsed="false">
      <c r="A219" s="55" t="s">
        <v>355</v>
      </c>
      <c r="C219" s="55" t="n">
        <v>4.3</v>
      </c>
    </row>
    <row r="220" customFormat="false" ht="14.25" hidden="false" customHeight="false" outlineLevel="0" collapsed="false">
      <c r="A220" s="55" t="s">
        <v>543</v>
      </c>
    </row>
    <row r="221" customFormat="false" ht="14.25" hidden="false" customHeight="false" outlineLevel="0" collapsed="false">
      <c r="A221" s="55" t="s">
        <v>375</v>
      </c>
    </row>
    <row r="222" customFormat="false" ht="14.25" hidden="false" customHeight="false" outlineLevel="0" collapsed="false">
      <c r="A222" s="55" t="s">
        <v>541</v>
      </c>
    </row>
    <row r="223" customFormat="false" ht="14.25" hidden="false" customHeight="false" outlineLevel="0" collapsed="false">
      <c r="A223" s="55" t="s">
        <v>535</v>
      </c>
    </row>
    <row r="224" customFormat="false" ht="14.25" hidden="false" customHeight="false" outlineLevel="0" collapsed="false">
      <c r="A224" s="55" t="s">
        <v>349</v>
      </c>
    </row>
    <row r="225" customFormat="false" ht="14.25" hidden="false" customHeight="false" outlineLevel="0" collapsed="false">
      <c r="A225" s="55" t="s">
        <v>391</v>
      </c>
    </row>
    <row r="226" customFormat="false" ht="14.25" hidden="false" customHeight="false" outlineLevel="0" collapsed="false">
      <c r="A226" s="55" t="s">
        <v>365</v>
      </c>
      <c r="B226" s="55" t="n">
        <v>9.5</v>
      </c>
      <c r="C226" s="55" t="n">
        <v>8.4</v>
      </c>
    </row>
    <row r="227" customFormat="false" ht="14.25" hidden="false" customHeight="false" outlineLevel="0" collapsed="false">
      <c r="A227" s="55" t="s">
        <v>367</v>
      </c>
      <c r="B227" s="55" t="n">
        <v>10</v>
      </c>
      <c r="C227" s="55" t="n">
        <v>9.4</v>
      </c>
    </row>
    <row r="228" customFormat="false" ht="14.25" hidden="false" customHeight="false" outlineLevel="0" collapsed="false">
      <c r="A228" s="55" t="s">
        <v>393</v>
      </c>
      <c r="B228" s="55" t="n">
        <v>8.9</v>
      </c>
      <c r="C228" s="55" t="n">
        <v>8.4</v>
      </c>
    </row>
    <row r="229" customFormat="false" ht="14.25" hidden="false" customHeight="false" outlineLevel="0" collapsed="false">
      <c r="A229" s="55" t="s">
        <v>145</v>
      </c>
    </row>
    <row r="230" customFormat="false" ht="14.25" hidden="false" customHeight="false" outlineLevel="0" collapsed="false">
      <c r="A230" s="55" t="s">
        <v>363</v>
      </c>
    </row>
    <row r="231" customFormat="false" ht="14.25" hidden="false" customHeight="false" outlineLevel="0" collapsed="false">
      <c r="A231" s="55" t="s">
        <v>357</v>
      </c>
    </row>
    <row r="232" customFormat="false" ht="14.25" hidden="false" customHeight="false" outlineLevel="0" collapsed="false">
      <c r="A232" s="55" t="s">
        <v>397</v>
      </c>
    </row>
    <row r="233" customFormat="false" ht="14.25" hidden="false" customHeight="false" outlineLevel="0" collapsed="false">
      <c r="A233" s="55" t="s">
        <v>419</v>
      </c>
    </row>
    <row r="234" customFormat="false" ht="14.25" hidden="false" customHeight="false" outlineLevel="0" collapsed="false">
      <c r="A234" s="55" t="s">
        <v>95</v>
      </c>
    </row>
    <row r="235" customFormat="false" ht="14.25" hidden="false" customHeight="false" outlineLevel="0" collapsed="false">
      <c r="A235" s="55" t="s">
        <v>469</v>
      </c>
    </row>
    <row r="236" customFormat="false" ht="14.25" hidden="false" customHeight="false" outlineLevel="0" collapsed="false">
      <c r="A236" s="55" t="s">
        <v>477</v>
      </c>
    </row>
    <row r="237" customFormat="false" ht="14.25" hidden="false" customHeight="false" outlineLevel="0" collapsed="false">
      <c r="A237" s="55" t="s">
        <v>407</v>
      </c>
    </row>
    <row r="238" customFormat="false" ht="14.25" hidden="false" customHeight="false" outlineLevel="0" collapsed="false">
      <c r="A238" s="55" t="s">
        <v>403</v>
      </c>
      <c r="B238" s="55" t="n">
        <v>6.5</v>
      </c>
      <c r="C238" s="55" t="n">
        <v>7.1</v>
      </c>
    </row>
    <row r="239" customFormat="false" ht="14.25" hidden="false" customHeight="false" outlineLevel="0" collapsed="false">
      <c r="A239" s="55" t="s">
        <v>399</v>
      </c>
      <c r="B239" s="55" t="n">
        <v>7.4</v>
      </c>
    </row>
    <row r="240" customFormat="false" ht="14.25" hidden="false" customHeight="false" outlineLevel="0" collapsed="false">
      <c r="A240" s="55" t="s">
        <v>417</v>
      </c>
    </row>
    <row r="241" customFormat="false" ht="14.25" hidden="false" customHeight="false" outlineLevel="0" collapsed="false">
      <c r="A241" s="55" t="s">
        <v>503</v>
      </c>
    </row>
    <row r="242" customFormat="false" ht="14.25" hidden="false" customHeight="false" outlineLevel="0" collapsed="false">
      <c r="A242" s="55" t="s">
        <v>405</v>
      </c>
      <c r="B242" s="55" t="n">
        <v>9.5</v>
      </c>
      <c r="C242" s="55" t="n">
        <v>9.4</v>
      </c>
    </row>
    <row r="243" customFormat="false" ht="14.25" hidden="false" customHeight="false" outlineLevel="0" collapsed="false">
      <c r="A243" s="55" t="s">
        <v>517</v>
      </c>
    </row>
    <row r="244" customFormat="false" ht="14.25" hidden="false" customHeight="false" outlineLevel="0" collapsed="false">
      <c r="A244" s="55" t="s">
        <v>409</v>
      </c>
    </row>
    <row r="245" customFormat="false" ht="14.25" hidden="false" customHeight="false" outlineLevel="0" collapsed="false">
      <c r="A245" s="55" t="s">
        <v>539</v>
      </c>
    </row>
    <row r="246" customFormat="false" ht="14.25" hidden="false" customHeight="false" outlineLevel="0" collapsed="false">
      <c r="A246" s="55" t="s">
        <v>545</v>
      </c>
    </row>
    <row r="247" customFormat="false" ht="14.25" hidden="false" customHeight="false" outlineLevel="0" collapsed="false">
      <c r="A247" s="55" t="s">
        <v>411</v>
      </c>
    </row>
    <row r="248" customFormat="false" ht="14.25" hidden="false" customHeight="false" outlineLevel="0" collapsed="false">
      <c r="A248" s="55" t="s">
        <v>413</v>
      </c>
    </row>
    <row r="249" customFormat="false" ht="14.25" hidden="false" customHeight="false" outlineLevel="0" collapsed="false">
      <c r="A249" s="55" t="s">
        <v>415</v>
      </c>
      <c r="B249" s="55" t="n">
        <v>5.8</v>
      </c>
      <c r="C249" s="55" t="n">
        <v>5.8</v>
      </c>
    </row>
    <row r="250" customFormat="false" ht="14.25" hidden="false" customHeight="false" outlineLevel="0" collapsed="false">
      <c r="A250" s="55" t="s">
        <v>421</v>
      </c>
    </row>
    <row r="251" customFormat="false" ht="14.25" hidden="false" customHeight="false" outlineLevel="0" collapsed="false">
      <c r="A251" s="55" t="s">
        <v>401</v>
      </c>
      <c r="B251" s="55" t="n">
        <v>6.3</v>
      </c>
    </row>
    <row r="252" customFormat="false" ht="14.25" hidden="false" customHeight="false" outlineLevel="0" collapsed="false">
      <c r="A252" s="55" t="s">
        <v>423</v>
      </c>
    </row>
    <row r="253" customFormat="false" ht="14.25" hidden="false" customHeight="false" outlineLevel="0" collapsed="false">
      <c r="A253" s="55" t="s">
        <v>425</v>
      </c>
      <c r="B253" s="55" t="n">
        <v>9.5</v>
      </c>
      <c r="C253" s="55" t="n">
        <v>10.5</v>
      </c>
    </row>
    <row r="254" customFormat="false" ht="14.25" hidden="false" customHeight="false" outlineLevel="0" collapsed="false">
      <c r="A254" s="55" t="s">
        <v>547</v>
      </c>
    </row>
    <row r="255" customFormat="false" ht="14.25" hidden="false" customHeight="false" outlineLevel="0" collapsed="false">
      <c r="A255" s="55" t="s">
        <v>433</v>
      </c>
      <c r="B255" s="55" t="n">
        <v>4.8</v>
      </c>
      <c r="C255" s="55" t="n">
        <v>5.6</v>
      </c>
    </row>
    <row r="256" customFormat="false" ht="14.25" hidden="false" customHeight="false" outlineLevel="0" collapsed="false">
      <c r="A256" s="55" t="s">
        <v>431</v>
      </c>
      <c r="B256" s="55" t="n">
        <v>5.2</v>
      </c>
      <c r="C256" s="55" t="n">
        <v>5.2</v>
      </c>
    </row>
    <row r="257" customFormat="false" ht="14.25" hidden="false" customHeight="false" outlineLevel="0" collapsed="false">
      <c r="A257" s="55" t="s">
        <v>435</v>
      </c>
    </row>
    <row r="258" customFormat="false" ht="14.25" hidden="false" customHeight="false" outlineLevel="0" collapsed="false">
      <c r="A258" s="55" t="s">
        <v>387</v>
      </c>
    </row>
    <row r="259" customFormat="false" ht="14.25" hidden="false" customHeight="false" outlineLevel="0" collapsed="false">
      <c r="A259" s="55" t="s">
        <v>439</v>
      </c>
    </row>
    <row r="260" customFormat="false" ht="14.25" hidden="false" customHeight="false" outlineLevel="0" collapsed="false">
      <c r="A260" s="55" t="s">
        <v>73</v>
      </c>
    </row>
    <row r="261" customFormat="false" ht="14.25" hidden="false" customHeight="false" outlineLevel="0" collapsed="false">
      <c r="A261" s="55" t="s">
        <v>443</v>
      </c>
    </row>
    <row r="262" customFormat="false" ht="14.25" hidden="false" customHeight="false" outlineLevel="0" collapsed="false">
      <c r="A262" s="55" t="s">
        <v>441</v>
      </c>
      <c r="C262" s="55" t="n">
        <v>7.1</v>
      </c>
    </row>
    <row r="263" customFormat="false" ht="14.25" hidden="false" customHeight="false" outlineLevel="0" collapsed="false">
      <c r="A263" s="55" t="s">
        <v>437</v>
      </c>
    </row>
    <row r="264" customFormat="false" ht="14.25" hidden="false" customHeight="false" outlineLevel="0" collapsed="false">
      <c r="A264" s="55" t="s">
        <v>549</v>
      </c>
    </row>
    <row r="265" customFormat="false" ht="14.25" hidden="false" customHeight="false" outlineLevel="0" collapsed="false">
      <c r="A265" s="55" t="s">
        <v>345</v>
      </c>
    </row>
    <row r="266" customFormat="false" ht="14.25" hidden="false" customHeight="false" outlineLevel="0" collapsed="false">
      <c r="A266" s="55" t="s">
        <v>229</v>
      </c>
      <c r="C266" s="55" t="n">
        <v>9.1</v>
      </c>
    </row>
    <row r="267" customFormat="false" ht="14.25" hidden="false" customHeight="false" outlineLevel="0" collapsed="false">
      <c r="A267" s="55" t="s">
        <v>447</v>
      </c>
      <c r="C267" s="55" t="n">
        <v>7.3</v>
      </c>
    </row>
    <row r="268" customFormat="false" ht="14.25" hidden="false" customHeight="false" outlineLevel="0" collapsed="false">
      <c r="A268" s="55" t="s">
        <v>373</v>
      </c>
      <c r="C268" s="55" t="n">
        <v>2.4</v>
      </c>
    </row>
    <row r="269" customFormat="false" ht="14.25" hidden="false" customHeight="false" outlineLevel="0" collapsed="false">
      <c r="A269" s="55" t="s">
        <v>449</v>
      </c>
    </row>
    <row r="270" customFormat="false" ht="14.25" hidden="false" customHeight="false" outlineLevel="0" collapsed="false">
      <c r="A270" s="55" t="s">
        <v>451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890625" defaultRowHeight="14.25" zeroHeight="false" outlineLevelRow="0" outlineLevelCol="0"/>
  <cols>
    <col collapsed="false" customWidth="true" hidden="false" outlineLevel="0" max="1" min="1" style="55" width="44.11"/>
    <col collapsed="false" customWidth="true" hidden="false" outlineLevel="0" max="3" min="2" style="55" width="5"/>
    <col collapsed="false" customWidth="false" hidden="false" outlineLevel="0" max="16384" min="4" style="55" width="8.89"/>
  </cols>
  <sheetData>
    <row r="1" customFormat="false" ht="14.25" hidden="false" customHeight="false" outlineLevel="0" collapsed="false">
      <c r="A1" s="55" t="s">
        <v>575</v>
      </c>
    </row>
    <row r="2" customFormat="false" ht="14.25" hidden="false" customHeight="false" outlineLevel="0" collapsed="false">
      <c r="A2" s="55" t="s">
        <v>576</v>
      </c>
    </row>
    <row r="4" customFormat="false" ht="14.25" hidden="false" customHeight="false" outlineLevel="0" collapsed="false">
      <c r="A4" s="55" t="s">
        <v>2</v>
      </c>
      <c r="B4" s="55" t="s">
        <v>577</v>
      </c>
      <c r="C4" s="55" t="s">
        <v>578</v>
      </c>
    </row>
    <row r="5" customFormat="false" ht="14.25" hidden="false" customHeight="false" outlineLevel="0" collapsed="false">
      <c r="A5" s="55" t="s">
        <v>37</v>
      </c>
    </row>
    <row r="6" customFormat="false" ht="14.25" hidden="false" customHeight="false" outlineLevel="0" collapsed="false">
      <c r="A6" s="55" t="s">
        <v>453</v>
      </c>
    </row>
    <row r="7" customFormat="false" ht="14.25" hidden="false" customHeight="false" outlineLevel="0" collapsed="false">
      <c r="A7" s="55" t="s">
        <v>18</v>
      </c>
    </row>
    <row r="8" customFormat="false" ht="14.25" hidden="false" customHeight="false" outlineLevel="0" collapsed="false">
      <c r="A8" s="55" t="s">
        <v>455</v>
      </c>
    </row>
    <row r="9" customFormat="false" ht="14.25" hidden="false" customHeight="false" outlineLevel="0" collapsed="false">
      <c r="A9" s="55" t="s">
        <v>29</v>
      </c>
    </row>
    <row r="10" customFormat="false" ht="14.25" hidden="false" customHeight="false" outlineLevel="0" collapsed="false">
      <c r="A10" s="55" t="s">
        <v>21</v>
      </c>
      <c r="C10" s="55" t="n">
        <v>23.3</v>
      </c>
    </row>
    <row r="11" customFormat="false" ht="14.25" hidden="false" customHeight="false" outlineLevel="0" collapsed="false">
      <c r="A11" s="55" t="s">
        <v>27</v>
      </c>
    </row>
    <row r="12" customFormat="false" ht="14.25" hidden="false" customHeight="false" outlineLevel="0" collapsed="false">
      <c r="A12" s="55" t="s">
        <v>457</v>
      </c>
    </row>
    <row r="13" customFormat="false" ht="14.25" hidden="false" customHeight="false" outlineLevel="0" collapsed="false">
      <c r="A13" s="55" t="s">
        <v>427</v>
      </c>
    </row>
    <row r="14" customFormat="false" ht="14.25" hidden="false" customHeight="false" outlineLevel="0" collapsed="false">
      <c r="A14" s="55" t="s">
        <v>33</v>
      </c>
      <c r="B14" s="55" t="n">
        <v>22.4</v>
      </c>
      <c r="C14" s="55" t="n">
        <v>23.1</v>
      </c>
    </row>
    <row r="15" customFormat="false" ht="14.25" hidden="false" customHeight="false" outlineLevel="0" collapsed="false">
      <c r="A15" s="55" t="s">
        <v>35</v>
      </c>
      <c r="B15" s="55" t="n">
        <v>22.1</v>
      </c>
      <c r="C15" s="55" t="n">
        <v>22</v>
      </c>
    </row>
    <row r="16" customFormat="false" ht="14.25" hidden="false" customHeight="false" outlineLevel="0" collapsed="false">
      <c r="A16" s="55" t="s">
        <v>25</v>
      </c>
    </row>
    <row r="17" customFormat="false" ht="14.25" hidden="false" customHeight="false" outlineLevel="0" collapsed="false">
      <c r="A17" s="55" t="s">
        <v>31</v>
      </c>
    </row>
    <row r="18" customFormat="false" ht="14.25" hidden="false" customHeight="false" outlineLevel="0" collapsed="false">
      <c r="A18" s="55" t="s">
        <v>39</v>
      </c>
      <c r="C18" s="55" t="n">
        <v>22.1</v>
      </c>
    </row>
    <row r="19" customFormat="false" ht="14.25" hidden="false" customHeight="false" outlineLevel="0" collapsed="false">
      <c r="A19" s="55" t="s">
        <v>41</v>
      </c>
      <c r="B19" s="55" t="n">
        <v>22.9</v>
      </c>
      <c r="C19" s="55" t="n">
        <v>22.7</v>
      </c>
    </row>
    <row r="20" customFormat="false" ht="14.25" hidden="false" customHeight="false" outlineLevel="0" collapsed="false">
      <c r="A20" s="55" t="s">
        <v>43</v>
      </c>
    </row>
    <row r="21" customFormat="false" ht="14.25" hidden="false" customHeight="false" outlineLevel="0" collapsed="false">
      <c r="A21" s="55" t="s">
        <v>81</v>
      </c>
    </row>
    <row r="22" customFormat="false" ht="14.25" hidden="false" customHeight="false" outlineLevel="0" collapsed="false">
      <c r="A22" s="55" t="s">
        <v>55</v>
      </c>
      <c r="B22" s="55" t="n">
        <v>22.3</v>
      </c>
      <c r="C22" s="55" t="n">
        <v>22.8</v>
      </c>
    </row>
    <row r="23" customFormat="false" ht="14.25" hidden="false" customHeight="false" outlineLevel="0" collapsed="false">
      <c r="A23" s="55" t="s">
        <v>59</v>
      </c>
    </row>
    <row r="24" customFormat="false" ht="14.25" hidden="false" customHeight="false" outlineLevel="0" collapsed="false">
      <c r="A24" s="55" t="s">
        <v>79</v>
      </c>
      <c r="C24" s="55" t="n">
        <v>20.6</v>
      </c>
    </row>
    <row r="25" customFormat="false" ht="14.25" hidden="false" customHeight="false" outlineLevel="0" collapsed="false">
      <c r="A25" s="55" t="s">
        <v>49</v>
      </c>
    </row>
    <row r="26" customFormat="false" ht="14.25" hidden="false" customHeight="false" outlineLevel="0" collapsed="false">
      <c r="A26" s="55" t="s">
        <v>77</v>
      </c>
      <c r="B26" s="55" t="n">
        <v>22.3</v>
      </c>
      <c r="C26" s="55" t="n">
        <v>22.1</v>
      </c>
    </row>
    <row r="27" customFormat="false" ht="14.25" hidden="false" customHeight="false" outlineLevel="0" collapsed="false">
      <c r="A27" s="55" t="s">
        <v>47</v>
      </c>
    </row>
    <row r="28" customFormat="false" ht="14.25" hidden="false" customHeight="false" outlineLevel="0" collapsed="false">
      <c r="A28" s="55" t="s">
        <v>45</v>
      </c>
    </row>
    <row r="29" customFormat="false" ht="14.25" hidden="false" customHeight="false" outlineLevel="0" collapsed="false">
      <c r="A29" s="55" t="s">
        <v>67</v>
      </c>
      <c r="B29" s="55" t="n">
        <v>23</v>
      </c>
    </row>
    <row r="30" customFormat="false" ht="14.25" hidden="false" customHeight="false" outlineLevel="0" collapsed="false">
      <c r="A30" s="55" t="s">
        <v>53</v>
      </c>
      <c r="B30" s="55" t="n">
        <v>22.5</v>
      </c>
      <c r="C30" s="55" t="n">
        <v>22.4</v>
      </c>
    </row>
    <row r="31" customFormat="false" ht="14.25" hidden="false" customHeight="false" outlineLevel="0" collapsed="false">
      <c r="A31" s="55" t="s">
        <v>57</v>
      </c>
    </row>
    <row r="32" customFormat="false" ht="14.25" hidden="false" customHeight="false" outlineLevel="0" collapsed="false">
      <c r="A32" s="55" t="s">
        <v>61</v>
      </c>
    </row>
    <row r="33" customFormat="false" ht="14.25" hidden="false" customHeight="false" outlineLevel="0" collapsed="false">
      <c r="A33" s="55" t="s">
        <v>65</v>
      </c>
      <c r="B33" s="55" t="n">
        <v>19.8</v>
      </c>
      <c r="C33" s="55" t="n">
        <v>21.3</v>
      </c>
    </row>
    <row r="34" customFormat="false" ht="14.25" hidden="false" customHeight="false" outlineLevel="0" collapsed="false">
      <c r="A34" s="55" t="s">
        <v>71</v>
      </c>
      <c r="B34" s="55" t="n">
        <v>19.2</v>
      </c>
      <c r="C34" s="55" t="n">
        <v>19.4</v>
      </c>
    </row>
    <row r="35" customFormat="false" ht="14.25" hidden="false" customHeight="false" outlineLevel="0" collapsed="false">
      <c r="A35" s="55" t="s">
        <v>51</v>
      </c>
    </row>
    <row r="36" customFormat="false" ht="14.25" hidden="false" customHeight="false" outlineLevel="0" collapsed="false">
      <c r="A36" s="55" t="s">
        <v>75</v>
      </c>
    </row>
    <row r="37" customFormat="false" ht="14.25" hidden="false" customHeight="false" outlineLevel="0" collapsed="false">
      <c r="A37" s="55" t="s">
        <v>63</v>
      </c>
      <c r="B37" s="55" t="n">
        <v>22.1</v>
      </c>
    </row>
    <row r="38" customFormat="false" ht="14.25" hidden="false" customHeight="false" outlineLevel="0" collapsed="false">
      <c r="A38" s="55" t="s">
        <v>69</v>
      </c>
    </row>
    <row r="39" customFormat="false" ht="14.25" hidden="false" customHeight="false" outlineLevel="0" collapsed="false">
      <c r="A39" s="55" t="s">
        <v>93</v>
      </c>
    </row>
    <row r="40" customFormat="false" ht="14.25" hidden="false" customHeight="false" outlineLevel="0" collapsed="false">
      <c r="A40" s="55" t="s">
        <v>89</v>
      </c>
      <c r="B40" s="55" t="n">
        <v>22.6</v>
      </c>
      <c r="C40" s="55" t="n">
        <v>22.9</v>
      </c>
    </row>
    <row r="41" customFormat="false" ht="14.25" hidden="false" customHeight="false" outlineLevel="0" collapsed="false">
      <c r="A41" s="55" t="s">
        <v>461</v>
      </c>
    </row>
    <row r="42" customFormat="false" ht="14.25" hidden="false" customHeight="false" outlineLevel="0" collapsed="false">
      <c r="A42" s="55" t="s">
        <v>395</v>
      </c>
      <c r="B42" s="55" t="n">
        <v>22.4</v>
      </c>
      <c r="C42" s="55" t="n">
        <v>22.5</v>
      </c>
    </row>
    <row r="43" customFormat="false" ht="14.25" hidden="false" customHeight="false" outlineLevel="0" collapsed="false">
      <c r="A43" s="55" t="s">
        <v>97</v>
      </c>
    </row>
    <row r="44" customFormat="false" ht="14.25" hidden="false" customHeight="false" outlineLevel="0" collapsed="false">
      <c r="A44" s="55" t="s">
        <v>99</v>
      </c>
    </row>
    <row r="45" customFormat="false" ht="14.25" hidden="false" customHeight="false" outlineLevel="0" collapsed="false">
      <c r="A45" s="55" t="s">
        <v>101</v>
      </c>
      <c r="C45" s="55" t="n">
        <v>22.3</v>
      </c>
    </row>
    <row r="46" customFormat="false" ht="14.25" hidden="false" customHeight="false" outlineLevel="0" collapsed="false">
      <c r="A46" s="55" t="s">
        <v>113</v>
      </c>
    </row>
    <row r="47" customFormat="false" ht="14.25" hidden="false" customHeight="false" outlineLevel="0" collapsed="false">
      <c r="A47" s="55" t="s">
        <v>87</v>
      </c>
      <c r="B47" s="55" t="n">
        <v>21.5</v>
      </c>
      <c r="C47" s="55" t="n">
        <v>21.6</v>
      </c>
    </row>
    <row r="48" customFormat="false" ht="14.25" hidden="false" customHeight="false" outlineLevel="0" collapsed="false">
      <c r="A48" s="55" t="s">
        <v>107</v>
      </c>
    </row>
    <row r="49" customFormat="false" ht="14.25" hidden="false" customHeight="false" outlineLevel="0" collapsed="false">
      <c r="A49" s="55" t="s">
        <v>109</v>
      </c>
    </row>
    <row r="50" customFormat="false" ht="14.25" hidden="false" customHeight="false" outlineLevel="0" collapsed="false">
      <c r="A50" s="55" t="s">
        <v>103</v>
      </c>
      <c r="C50" s="55" t="n">
        <v>19.6</v>
      </c>
    </row>
    <row r="51" customFormat="false" ht="14.25" hidden="false" customHeight="false" outlineLevel="0" collapsed="false">
      <c r="A51" s="55" t="s">
        <v>105</v>
      </c>
      <c r="C51" s="55" t="n">
        <v>22.2</v>
      </c>
    </row>
    <row r="52" customFormat="false" ht="14.25" hidden="false" customHeight="false" outlineLevel="0" collapsed="false">
      <c r="A52" s="55" t="s">
        <v>83</v>
      </c>
      <c r="B52" s="55" t="n">
        <v>20</v>
      </c>
    </row>
    <row r="53" customFormat="false" ht="14.25" hidden="false" customHeight="false" outlineLevel="0" collapsed="false">
      <c r="A53" s="55" t="s">
        <v>111</v>
      </c>
      <c r="B53" s="55" t="n">
        <v>19.7</v>
      </c>
      <c r="C53" s="55" t="n">
        <v>20.8</v>
      </c>
    </row>
    <row r="54" customFormat="false" ht="14.25" hidden="false" customHeight="false" outlineLevel="0" collapsed="false">
      <c r="A54" s="55" t="s">
        <v>459</v>
      </c>
    </row>
    <row r="55" customFormat="false" ht="14.25" hidden="false" customHeight="false" outlineLevel="0" collapsed="false">
      <c r="A55" s="55" t="s">
        <v>117</v>
      </c>
    </row>
    <row r="56" customFormat="false" ht="14.25" hidden="false" customHeight="false" outlineLevel="0" collapsed="false">
      <c r="A56" s="55" t="s">
        <v>119</v>
      </c>
    </row>
    <row r="57" customFormat="false" ht="14.25" hidden="false" customHeight="false" outlineLevel="0" collapsed="false">
      <c r="A57" s="55" t="s">
        <v>91</v>
      </c>
    </row>
    <row r="58" customFormat="false" ht="14.25" hidden="false" customHeight="false" outlineLevel="0" collapsed="false">
      <c r="A58" s="55" t="s">
        <v>121</v>
      </c>
      <c r="B58" s="55" t="n">
        <v>21.9</v>
      </c>
      <c r="C58" s="55" t="n">
        <v>21.3</v>
      </c>
    </row>
    <row r="59" customFormat="false" ht="14.25" hidden="false" customHeight="false" outlineLevel="0" collapsed="false">
      <c r="A59" s="55" t="s">
        <v>123</v>
      </c>
      <c r="B59" s="55" t="n">
        <v>21.8</v>
      </c>
      <c r="C59" s="55" t="n">
        <v>21.9</v>
      </c>
    </row>
    <row r="60" customFormat="false" ht="14.25" hidden="false" customHeight="false" outlineLevel="0" collapsed="false">
      <c r="A60" s="55" t="s">
        <v>165</v>
      </c>
      <c r="B60" s="55" t="n">
        <v>22.1</v>
      </c>
      <c r="C60" s="55" t="n">
        <v>22.7</v>
      </c>
    </row>
    <row r="61" customFormat="false" ht="14.25" hidden="false" customHeight="false" outlineLevel="0" collapsed="false">
      <c r="A61" s="55" t="s">
        <v>127</v>
      </c>
    </row>
    <row r="62" customFormat="false" ht="14.25" hidden="false" customHeight="false" outlineLevel="0" collapsed="false">
      <c r="A62" s="55" t="s">
        <v>129</v>
      </c>
    </row>
    <row r="63" customFormat="false" ht="14.25" hidden="false" customHeight="false" outlineLevel="0" collapsed="false">
      <c r="A63" s="55" t="s">
        <v>125</v>
      </c>
      <c r="B63" s="55" t="n">
        <v>22.1</v>
      </c>
      <c r="C63" s="55" t="n">
        <v>22</v>
      </c>
    </row>
    <row r="64" customFormat="false" ht="14.25" hidden="false" customHeight="false" outlineLevel="0" collapsed="false">
      <c r="A64" s="55" t="s">
        <v>131</v>
      </c>
      <c r="B64" s="55" t="n">
        <v>19.8</v>
      </c>
      <c r="C64" s="55" t="n">
        <v>21.5</v>
      </c>
    </row>
    <row r="65" customFormat="false" ht="14.25" hidden="false" customHeight="false" outlineLevel="0" collapsed="false">
      <c r="A65" s="55" t="s">
        <v>23</v>
      </c>
    </row>
    <row r="66" customFormat="false" ht="14.25" hidden="false" customHeight="false" outlineLevel="0" collapsed="false">
      <c r="A66" s="55" t="s">
        <v>467</v>
      </c>
    </row>
    <row r="67" customFormat="false" ht="14.25" hidden="false" customHeight="false" outlineLevel="0" collapsed="false">
      <c r="A67" s="55" t="s">
        <v>463</v>
      </c>
    </row>
    <row r="68" customFormat="false" ht="14.25" hidden="false" customHeight="false" outlineLevel="0" collapsed="false">
      <c r="A68" s="55" t="s">
        <v>465</v>
      </c>
    </row>
    <row r="69" customFormat="false" ht="14.25" hidden="false" customHeight="false" outlineLevel="0" collapsed="false">
      <c r="A69" s="55" t="s">
        <v>475</v>
      </c>
    </row>
    <row r="70" customFormat="false" ht="14.25" hidden="false" customHeight="false" outlineLevel="0" collapsed="false">
      <c r="A70" s="55" t="s">
        <v>473</v>
      </c>
    </row>
    <row r="71" customFormat="false" ht="14.25" hidden="false" customHeight="false" outlineLevel="0" collapsed="false">
      <c r="A71" s="55" t="s">
        <v>133</v>
      </c>
      <c r="B71" s="55" t="n">
        <v>19.4</v>
      </c>
      <c r="C71" s="55" t="n">
        <v>21.2</v>
      </c>
    </row>
    <row r="72" customFormat="false" ht="14.25" hidden="false" customHeight="false" outlineLevel="0" collapsed="false">
      <c r="A72" s="55" t="s">
        <v>135</v>
      </c>
    </row>
    <row r="73" customFormat="false" ht="14.25" hidden="false" customHeight="false" outlineLevel="0" collapsed="false">
      <c r="A73" s="55" t="s">
        <v>471</v>
      </c>
    </row>
    <row r="74" customFormat="false" ht="14.25" hidden="false" customHeight="false" outlineLevel="0" collapsed="false">
      <c r="A74" s="55" t="s">
        <v>141</v>
      </c>
    </row>
    <row r="75" customFormat="false" ht="14.25" hidden="false" customHeight="false" outlineLevel="0" collapsed="false">
      <c r="A75" s="55" t="s">
        <v>377</v>
      </c>
      <c r="B75" s="55" t="n">
        <v>23.1</v>
      </c>
      <c r="C75" s="55" t="n">
        <v>23.6</v>
      </c>
    </row>
    <row r="76" customFormat="false" ht="14.25" hidden="false" customHeight="false" outlineLevel="0" collapsed="false">
      <c r="A76" s="55" t="s">
        <v>143</v>
      </c>
      <c r="B76" s="55" t="n">
        <v>23</v>
      </c>
      <c r="C76" s="55" t="n">
        <v>22.6</v>
      </c>
    </row>
    <row r="77" customFormat="false" ht="14.25" hidden="false" customHeight="false" outlineLevel="0" collapsed="false">
      <c r="A77" s="55" t="s">
        <v>147</v>
      </c>
    </row>
    <row r="78" customFormat="false" ht="14.25" hidden="false" customHeight="false" outlineLevel="0" collapsed="false">
      <c r="A78" s="55" t="s">
        <v>479</v>
      </c>
    </row>
    <row r="79" customFormat="false" ht="14.25" hidden="false" customHeight="false" outlineLevel="0" collapsed="false">
      <c r="A79" s="55" t="s">
        <v>481</v>
      </c>
    </row>
    <row r="80" customFormat="false" ht="14.25" hidden="false" customHeight="false" outlineLevel="0" collapsed="false">
      <c r="A80" s="55" t="s">
        <v>153</v>
      </c>
      <c r="B80" s="55" t="n">
        <v>22.3</v>
      </c>
      <c r="C80" s="55" t="n">
        <v>22.5</v>
      </c>
    </row>
    <row r="81" customFormat="false" ht="14.25" hidden="false" customHeight="false" outlineLevel="0" collapsed="false">
      <c r="A81" s="55" t="s">
        <v>151</v>
      </c>
    </row>
    <row r="82" customFormat="false" ht="14.25" hidden="false" customHeight="false" outlineLevel="0" collapsed="false">
      <c r="A82" s="55" t="s">
        <v>155</v>
      </c>
      <c r="B82" s="55" t="n">
        <v>21.9</v>
      </c>
      <c r="C82" s="55" t="n">
        <v>22</v>
      </c>
    </row>
    <row r="83" customFormat="false" ht="14.25" hidden="false" customHeight="false" outlineLevel="0" collapsed="false">
      <c r="A83" s="55" t="s">
        <v>149</v>
      </c>
    </row>
    <row r="84" customFormat="false" ht="14.25" hidden="false" customHeight="false" outlineLevel="0" collapsed="false">
      <c r="A84" s="55" t="s">
        <v>275</v>
      </c>
    </row>
    <row r="85" customFormat="false" ht="14.25" hidden="false" customHeight="false" outlineLevel="0" collapsed="false">
      <c r="A85" s="55" t="s">
        <v>159</v>
      </c>
    </row>
    <row r="86" customFormat="false" ht="14.25" hidden="false" customHeight="false" outlineLevel="0" collapsed="false">
      <c r="A86" s="55" t="s">
        <v>429</v>
      </c>
      <c r="B86" s="55" t="n">
        <v>22</v>
      </c>
      <c r="C86" s="55" t="n">
        <v>22.9</v>
      </c>
    </row>
    <row r="87" customFormat="false" ht="14.25" hidden="false" customHeight="false" outlineLevel="0" collapsed="false">
      <c r="A87" s="55" t="s">
        <v>163</v>
      </c>
      <c r="B87" s="55" t="n">
        <v>22.4</v>
      </c>
      <c r="C87" s="55" t="n">
        <v>22.3</v>
      </c>
    </row>
    <row r="88" customFormat="false" ht="14.25" hidden="false" customHeight="false" outlineLevel="0" collapsed="false">
      <c r="A88" s="55" t="s">
        <v>167</v>
      </c>
    </row>
    <row r="89" customFormat="false" ht="14.25" hidden="false" customHeight="false" outlineLevel="0" collapsed="false">
      <c r="A89" s="55" t="s">
        <v>169</v>
      </c>
    </row>
    <row r="90" customFormat="false" ht="14.25" hidden="false" customHeight="false" outlineLevel="0" collapsed="false">
      <c r="A90" s="55" t="s">
        <v>181</v>
      </c>
      <c r="B90" s="55" t="n">
        <v>22</v>
      </c>
    </row>
    <row r="91" customFormat="false" ht="14.25" hidden="false" customHeight="false" outlineLevel="0" collapsed="false">
      <c r="A91" s="55" t="s">
        <v>161</v>
      </c>
    </row>
    <row r="92" customFormat="false" ht="14.25" hidden="false" customHeight="false" outlineLevel="0" collapsed="false">
      <c r="A92" s="55" t="s">
        <v>183</v>
      </c>
    </row>
    <row r="93" customFormat="false" ht="14.25" hidden="false" customHeight="false" outlineLevel="0" collapsed="false">
      <c r="A93" s="55" t="s">
        <v>139</v>
      </c>
    </row>
    <row r="94" customFormat="false" ht="14.25" hidden="false" customHeight="false" outlineLevel="0" collapsed="false">
      <c r="A94" s="55" t="s">
        <v>171</v>
      </c>
      <c r="B94" s="55" t="n">
        <v>22.6</v>
      </c>
      <c r="C94" s="55" t="n">
        <v>23.3</v>
      </c>
    </row>
    <row r="95" customFormat="false" ht="14.25" hidden="false" customHeight="false" outlineLevel="0" collapsed="false">
      <c r="A95" s="55" t="s">
        <v>175</v>
      </c>
    </row>
    <row r="96" customFormat="false" ht="14.25" hidden="false" customHeight="false" outlineLevel="0" collapsed="false">
      <c r="A96" s="55" t="s">
        <v>173</v>
      </c>
    </row>
    <row r="97" customFormat="false" ht="14.25" hidden="false" customHeight="false" outlineLevel="0" collapsed="false">
      <c r="A97" s="55" t="s">
        <v>179</v>
      </c>
      <c r="C97" s="55" t="n">
        <v>20.1</v>
      </c>
    </row>
    <row r="98" customFormat="false" ht="14.25" hidden="false" customHeight="false" outlineLevel="0" collapsed="false">
      <c r="A98" s="55" t="s">
        <v>177</v>
      </c>
    </row>
    <row r="99" customFormat="false" ht="14.25" hidden="false" customHeight="false" outlineLevel="0" collapsed="false">
      <c r="A99" s="55" t="s">
        <v>185</v>
      </c>
    </row>
    <row r="100" customFormat="false" ht="14.25" hidden="false" customHeight="false" outlineLevel="0" collapsed="false">
      <c r="A100" s="55" t="s">
        <v>485</v>
      </c>
    </row>
    <row r="101" customFormat="false" ht="14.25" hidden="false" customHeight="false" outlineLevel="0" collapsed="false">
      <c r="A101" s="55" t="s">
        <v>191</v>
      </c>
    </row>
    <row r="102" customFormat="false" ht="14.25" hidden="false" customHeight="false" outlineLevel="0" collapsed="false">
      <c r="A102" s="55" t="s">
        <v>189</v>
      </c>
      <c r="B102" s="55" t="n">
        <v>19.5</v>
      </c>
      <c r="C102" s="55" t="n">
        <v>21</v>
      </c>
    </row>
    <row r="103" customFormat="false" ht="14.25" hidden="false" customHeight="false" outlineLevel="0" collapsed="false">
      <c r="A103" s="55" t="s">
        <v>483</v>
      </c>
    </row>
    <row r="104" customFormat="false" ht="14.25" hidden="false" customHeight="false" outlineLevel="0" collapsed="false">
      <c r="A104" s="55" t="s">
        <v>115</v>
      </c>
      <c r="C104" s="55" t="n">
        <v>23.6</v>
      </c>
    </row>
    <row r="105" customFormat="false" ht="14.25" hidden="false" customHeight="false" outlineLevel="0" collapsed="false">
      <c r="A105" s="55" t="s">
        <v>187</v>
      </c>
    </row>
    <row r="106" customFormat="false" ht="14.25" hidden="false" customHeight="false" outlineLevel="0" collapsed="false">
      <c r="A106" s="55" t="s">
        <v>193</v>
      </c>
      <c r="B106" s="55" t="n">
        <v>22.8</v>
      </c>
      <c r="C106" s="55" t="n">
        <v>22.9</v>
      </c>
    </row>
    <row r="107" customFormat="false" ht="14.25" hidden="false" customHeight="false" outlineLevel="0" collapsed="false">
      <c r="A107" s="55" t="s">
        <v>487</v>
      </c>
    </row>
    <row r="108" customFormat="false" ht="14.25" hidden="false" customHeight="false" outlineLevel="0" collapsed="false">
      <c r="A108" s="55" t="s">
        <v>489</v>
      </c>
    </row>
    <row r="109" customFormat="false" ht="14.25" hidden="false" customHeight="false" outlineLevel="0" collapsed="false">
      <c r="A109" s="55" t="s">
        <v>495</v>
      </c>
    </row>
    <row r="110" customFormat="false" ht="14.25" hidden="false" customHeight="false" outlineLevel="0" collapsed="false">
      <c r="A110" s="55" t="s">
        <v>491</v>
      </c>
    </row>
    <row r="111" customFormat="false" ht="14.25" hidden="false" customHeight="false" outlineLevel="0" collapsed="false">
      <c r="A111" s="55" t="s">
        <v>199</v>
      </c>
      <c r="B111" s="55" t="n">
        <v>21.3</v>
      </c>
      <c r="C111" s="55" t="n">
        <v>20.9</v>
      </c>
    </row>
    <row r="112" customFormat="false" ht="14.25" hidden="false" customHeight="false" outlineLevel="0" collapsed="false">
      <c r="A112" s="55" t="s">
        <v>493</v>
      </c>
    </row>
    <row r="113" customFormat="false" ht="14.25" hidden="false" customHeight="false" outlineLevel="0" collapsed="false">
      <c r="A113" s="55" t="s">
        <v>207</v>
      </c>
    </row>
    <row r="114" customFormat="false" ht="14.25" hidden="false" customHeight="false" outlineLevel="0" collapsed="false">
      <c r="A114" s="55" t="s">
        <v>197</v>
      </c>
    </row>
    <row r="115" customFormat="false" ht="14.25" hidden="false" customHeight="false" outlineLevel="0" collapsed="false">
      <c r="A115" s="55" t="s">
        <v>523</v>
      </c>
    </row>
    <row r="116" customFormat="false" ht="14.25" hidden="false" customHeight="false" outlineLevel="0" collapsed="false">
      <c r="A116" s="55" t="s">
        <v>205</v>
      </c>
      <c r="B116" s="55" t="n">
        <v>22.3</v>
      </c>
      <c r="C116" s="55" t="n">
        <v>22.5</v>
      </c>
    </row>
    <row r="117" customFormat="false" ht="14.25" hidden="false" customHeight="false" outlineLevel="0" collapsed="false">
      <c r="A117" s="55" t="s">
        <v>201</v>
      </c>
      <c r="C117" s="55" t="n">
        <v>21.9</v>
      </c>
    </row>
    <row r="118" customFormat="false" ht="14.25" hidden="false" customHeight="false" outlineLevel="0" collapsed="false">
      <c r="A118" s="55" t="s">
        <v>203</v>
      </c>
    </row>
    <row r="119" customFormat="false" ht="14.25" hidden="false" customHeight="false" outlineLevel="0" collapsed="false">
      <c r="A119" s="55" t="s">
        <v>195</v>
      </c>
      <c r="B119" s="55" t="n">
        <v>21.6</v>
      </c>
      <c r="C119" s="55" t="n">
        <v>21.9</v>
      </c>
    </row>
    <row r="120" customFormat="false" ht="14.25" hidden="false" customHeight="false" outlineLevel="0" collapsed="false">
      <c r="A120" s="55" t="s">
        <v>209</v>
      </c>
      <c r="B120" s="55" t="n">
        <v>23.4</v>
      </c>
      <c r="C120" s="55" t="n">
        <v>23.5</v>
      </c>
    </row>
    <row r="121" customFormat="false" ht="14.25" hidden="false" customHeight="false" outlineLevel="0" collapsed="false">
      <c r="A121" s="55" t="s">
        <v>211</v>
      </c>
      <c r="B121" s="55" t="n">
        <v>23</v>
      </c>
      <c r="C121" s="55" t="n">
        <v>23.3</v>
      </c>
    </row>
    <row r="122" customFormat="false" ht="14.25" hidden="false" customHeight="false" outlineLevel="0" collapsed="false">
      <c r="A122" s="55" t="s">
        <v>213</v>
      </c>
    </row>
    <row r="123" customFormat="false" ht="14.25" hidden="false" customHeight="false" outlineLevel="0" collapsed="false">
      <c r="A123" s="55" t="s">
        <v>217</v>
      </c>
    </row>
    <row r="124" customFormat="false" ht="14.25" hidden="false" customHeight="false" outlineLevel="0" collapsed="false">
      <c r="A124" s="55" t="s">
        <v>215</v>
      </c>
    </row>
    <row r="125" customFormat="false" ht="14.25" hidden="false" customHeight="false" outlineLevel="0" collapsed="false">
      <c r="A125" s="55" t="s">
        <v>219</v>
      </c>
      <c r="B125" s="55" t="n">
        <v>22</v>
      </c>
      <c r="C125" s="55" t="n">
        <v>22.2</v>
      </c>
    </row>
    <row r="126" customFormat="false" ht="14.25" hidden="false" customHeight="false" outlineLevel="0" collapsed="false">
      <c r="A126" s="55" t="s">
        <v>221</v>
      </c>
    </row>
    <row r="127" customFormat="false" ht="14.25" hidden="false" customHeight="false" outlineLevel="0" collapsed="false">
      <c r="A127" s="55" t="s">
        <v>233</v>
      </c>
      <c r="B127" s="55" t="n">
        <v>22.4</v>
      </c>
      <c r="C127" s="55" t="n">
        <v>22</v>
      </c>
    </row>
    <row r="128" customFormat="false" ht="14.25" hidden="false" customHeight="false" outlineLevel="0" collapsed="false">
      <c r="A128" s="55" t="s">
        <v>85</v>
      </c>
    </row>
    <row r="129" customFormat="false" ht="14.25" hidden="false" customHeight="false" outlineLevel="0" collapsed="false">
      <c r="A129" s="55" t="s">
        <v>223</v>
      </c>
    </row>
    <row r="130" customFormat="false" ht="14.25" hidden="false" customHeight="false" outlineLevel="0" collapsed="false">
      <c r="A130" s="55" t="s">
        <v>381</v>
      </c>
    </row>
    <row r="131" customFormat="false" ht="14.25" hidden="false" customHeight="false" outlineLevel="0" collapsed="false">
      <c r="A131" s="55" t="s">
        <v>227</v>
      </c>
      <c r="C131" s="55" t="n">
        <v>23.1</v>
      </c>
    </row>
    <row r="132" customFormat="false" ht="14.25" hidden="false" customHeight="false" outlineLevel="0" collapsed="false">
      <c r="A132" s="55" t="s">
        <v>231</v>
      </c>
    </row>
    <row r="133" customFormat="false" ht="14.25" hidden="false" customHeight="false" outlineLevel="0" collapsed="false">
      <c r="A133" s="55" t="s">
        <v>501</v>
      </c>
    </row>
    <row r="134" customFormat="false" ht="14.25" hidden="false" customHeight="false" outlineLevel="0" collapsed="false">
      <c r="A134" s="55" t="s">
        <v>235</v>
      </c>
      <c r="B134" s="55" t="n">
        <v>20.9</v>
      </c>
    </row>
    <row r="135" customFormat="false" ht="14.25" hidden="false" customHeight="false" outlineLevel="0" collapsed="false">
      <c r="A135" s="55" t="s">
        <v>239</v>
      </c>
    </row>
    <row r="136" customFormat="false" ht="14.25" hidden="false" customHeight="false" outlineLevel="0" collapsed="false">
      <c r="A136" s="55" t="s">
        <v>243</v>
      </c>
      <c r="B136" s="55" t="n">
        <v>22.1</v>
      </c>
      <c r="C136" s="55" t="n">
        <v>22.3</v>
      </c>
    </row>
    <row r="137" customFormat="false" ht="14.25" hidden="false" customHeight="false" outlineLevel="0" collapsed="false">
      <c r="A137" s="55" t="s">
        <v>245</v>
      </c>
    </row>
    <row r="138" customFormat="false" ht="14.25" hidden="false" customHeight="false" outlineLevel="0" collapsed="false">
      <c r="A138" s="55" t="s">
        <v>383</v>
      </c>
    </row>
    <row r="139" customFormat="false" ht="14.25" hidden="false" customHeight="false" outlineLevel="0" collapsed="false">
      <c r="A139" s="55" t="s">
        <v>499</v>
      </c>
    </row>
    <row r="140" customFormat="false" ht="14.25" hidden="false" customHeight="false" outlineLevel="0" collapsed="false">
      <c r="A140" s="55" t="s">
        <v>505</v>
      </c>
    </row>
    <row r="141" customFormat="false" ht="14.25" hidden="false" customHeight="false" outlineLevel="0" collapsed="false">
      <c r="A141" s="55" t="s">
        <v>509</v>
      </c>
    </row>
    <row r="142" customFormat="false" ht="14.25" hidden="false" customHeight="false" outlineLevel="0" collapsed="false">
      <c r="A142" s="55" t="s">
        <v>247</v>
      </c>
    </row>
    <row r="143" customFormat="false" ht="14.25" hidden="false" customHeight="false" outlineLevel="0" collapsed="false">
      <c r="A143" s="55" t="s">
        <v>379</v>
      </c>
    </row>
    <row r="144" customFormat="false" ht="14.25" hidden="false" customHeight="false" outlineLevel="0" collapsed="false">
      <c r="A144" s="55" t="s">
        <v>511</v>
      </c>
    </row>
    <row r="145" customFormat="false" ht="14.25" hidden="false" customHeight="false" outlineLevel="0" collapsed="false">
      <c r="A145" s="55" t="s">
        <v>507</v>
      </c>
    </row>
    <row r="146" customFormat="false" ht="14.25" hidden="false" customHeight="false" outlineLevel="0" collapsed="false">
      <c r="A146" s="55" t="s">
        <v>241</v>
      </c>
    </row>
    <row r="147" customFormat="false" ht="14.25" hidden="false" customHeight="false" outlineLevel="0" collapsed="false">
      <c r="A147" s="55" t="s">
        <v>497</v>
      </c>
    </row>
    <row r="148" customFormat="false" ht="14.25" hidden="false" customHeight="false" outlineLevel="0" collapsed="false">
      <c r="A148" s="55" t="s">
        <v>249</v>
      </c>
      <c r="B148" s="55" t="n">
        <v>22.4</v>
      </c>
      <c r="C148" s="55" t="n">
        <v>22.3</v>
      </c>
    </row>
    <row r="149" customFormat="false" ht="14.25" hidden="false" customHeight="false" outlineLevel="0" collapsed="false">
      <c r="A149" s="55" t="s">
        <v>251</v>
      </c>
      <c r="B149" s="55" t="n">
        <v>22.2</v>
      </c>
      <c r="C149" s="55" t="n">
        <v>22.9</v>
      </c>
    </row>
    <row r="150" customFormat="false" ht="14.25" hidden="false" customHeight="false" outlineLevel="0" collapsed="false">
      <c r="A150" s="55" t="s">
        <v>237</v>
      </c>
      <c r="B150" s="55" t="n">
        <v>22.7</v>
      </c>
      <c r="C150" s="55" t="n">
        <v>22.6</v>
      </c>
    </row>
    <row r="151" customFormat="false" ht="14.25" hidden="false" customHeight="false" outlineLevel="0" collapsed="false">
      <c r="A151" s="55" t="s">
        <v>253</v>
      </c>
    </row>
    <row r="152" customFormat="false" ht="14.25" hidden="false" customHeight="false" outlineLevel="0" collapsed="false">
      <c r="A152" s="55" t="s">
        <v>385</v>
      </c>
    </row>
    <row r="153" customFormat="false" ht="14.25" hidden="false" customHeight="false" outlineLevel="0" collapsed="false">
      <c r="A153" s="55" t="s">
        <v>285</v>
      </c>
    </row>
    <row r="154" customFormat="false" ht="14.25" hidden="false" customHeight="false" outlineLevel="0" collapsed="false">
      <c r="A154" s="55" t="s">
        <v>279</v>
      </c>
    </row>
    <row r="155" customFormat="false" ht="14.25" hidden="false" customHeight="false" outlineLevel="0" collapsed="false">
      <c r="A155" s="55" t="s">
        <v>277</v>
      </c>
      <c r="B155" s="55" t="n">
        <v>22.4</v>
      </c>
      <c r="C155" s="55" t="n">
        <v>22.5</v>
      </c>
    </row>
    <row r="156" customFormat="false" ht="14.25" hidden="false" customHeight="false" outlineLevel="0" collapsed="false">
      <c r="A156" s="55" t="s">
        <v>255</v>
      </c>
    </row>
    <row r="157" customFormat="false" ht="14.25" hidden="false" customHeight="false" outlineLevel="0" collapsed="false">
      <c r="A157" s="55" t="s">
        <v>261</v>
      </c>
    </row>
    <row r="158" customFormat="false" ht="14.25" hidden="false" customHeight="false" outlineLevel="0" collapsed="false">
      <c r="A158" s="55" t="s">
        <v>513</v>
      </c>
    </row>
    <row r="159" customFormat="false" ht="14.25" hidden="false" customHeight="false" outlineLevel="0" collapsed="false">
      <c r="A159" s="55" t="s">
        <v>273</v>
      </c>
      <c r="C159" s="55" t="n">
        <v>19.2</v>
      </c>
    </row>
    <row r="160" customFormat="false" ht="14.25" hidden="false" customHeight="false" outlineLevel="0" collapsed="false">
      <c r="A160" s="55" t="s">
        <v>267</v>
      </c>
    </row>
    <row r="161" customFormat="false" ht="14.25" hidden="false" customHeight="false" outlineLevel="0" collapsed="false">
      <c r="A161" s="55" t="s">
        <v>519</v>
      </c>
    </row>
    <row r="162" customFormat="false" ht="14.25" hidden="false" customHeight="false" outlineLevel="0" collapsed="false">
      <c r="A162" s="55" t="s">
        <v>309</v>
      </c>
      <c r="C162" s="55" t="n">
        <v>24.2</v>
      </c>
    </row>
    <row r="163" customFormat="false" ht="14.25" hidden="false" customHeight="false" outlineLevel="0" collapsed="false">
      <c r="A163" s="55" t="s">
        <v>263</v>
      </c>
    </row>
    <row r="164" customFormat="false" ht="14.25" hidden="false" customHeight="false" outlineLevel="0" collapsed="false">
      <c r="A164" s="55" t="s">
        <v>265</v>
      </c>
      <c r="B164" s="55" t="n">
        <v>23.1</v>
      </c>
      <c r="C164" s="55" t="n">
        <v>22.5</v>
      </c>
    </row>
    <row r="165" customFormat="false" ht="14.25" hidden="false" customHeight="false" outlineLevel="0" collapsed="false">
      <c r="A165" s="55" t="s">
        <v>289</v>
      </c>
    </row>
    <row r="166" customFormat="false" ht="14.25" hidden="false" customHeight="false" outlineLevel="0" collapsed="false">
      <c r="A166" s="55" t="s">
        <v>515</v>
      </c>
    </row>
    <row r="167" customFormat="false" ht="14.25" hidden="false" customHeight="false" outlineLevel="0" collapsed="false">
      <c r="A167" s="55" t="s">
        <v>283</v>
      </c>
      <c r="C167" s="55" t="n">
        <v>24.1</v>
      </c>
    </row>
    <row r="168" customFormat="false" ht="14.25" hidden="false" customHeight="false" outlineLevel="0" collapsed="false">
      <c r="A168" s="55" t="s">
        <v>281</v>
      </c>
      <c r="B168" s="55" t="n">
        <v>22.2</v>
      </c>
      <c r="C168" s="55" t="n">
        <v>22.3</v>
      </c>
    </row>
    <row r="169" customFormat="false" ht="14.25" hidden="false" customHeight="false" outlineLevel="0" collapsed="false">
      <c r="A169" s="55" t="s">
        <v>311</v>
      </c>
    </row>
    <row r="170" customFormat="false" ht="14.25" hidden="false" customHeight="false" outlineLevel="0" collapsed="false">
      <c r="A170" s="55" t="s">
        <v>287</v>
      </c>
      <c r="C170" s="55" t="n">
        <v>17.4</v>
      </c>
    </row>
    <row r="171" customFormat="false" ht="14.25" hidden="false" customHeight="false" outlineLevel="0" collapsed="false">
      <c r="A171" s="55" t="s">
        <v>269</v>
      </c>
      <c r="C171" s="55" t="n">
        <v>23</v>
      </c>
    </row>
    <row r="172" customFormat="false" ht="14.25" hidden="false" customHeight="false" outlineLevel="0" collapsed="false">
      <c r="A172" s="55" t="s">
        <v>271</v>
      </c>
    </row>
    <row r="173" customFormat="false" ht="14.25" hidden="false" customHeight="false" outlineLevel="0" collapsed="false">
      <c r="A173" s="55" t="s">
        <v>257</v>
      </c>
    </row>
    <row r="174" customFormat="false" ht="14.25" hidden="false" customHeight="false" outlineLevel="0" collapsed="false">
      <c r="A174" s="55" t="s">
        <v>259</v>
      </c>
    </row>
    <row r="175" customFormat="false" ht="14.25" hidden="false" customHeight="false" outlineLevel="0" collapsed="false">
      <c r="A175" s="55" t="s">
        <v>521</v>
      </c>
    </row>
    <row r="176" customFormat="false" ht="14.25" hidden="false" customHeight="false" outlineLevel="0" collapsed="false">
      <c r="A176" s="55" t="s">
        <v>291</v>
      </c>
    </row>
    <row r="177" customFormat="false" ht="14.25" hidden="false" customHeight="false" outlineLevel="0" collapsed="false">
      <c r="A177" s="55" t="s">
        <v>299</v>
      </c>
    </row>
    <row r="178" customFormat="false" ht="14.25" hidden="false" customHeight="false" outlineLevel="0" collapsed="false">
      <c r="A178" s="55" t="s">
        <v>305</v>
      </c>
      <c r="B178" s="55" t="n">
        <v>20.4</v>
      </c>
      <c r="C178" s="55" t="n">
        <v>22</v>
      </c>
    </row>
    <row r="179" customFormat="false" ht="14.25" hidden="false" customHeight="false" outlineLevel="0" collapsed="false">
      <c r="A179" s="55" t="s">
        <v>307</v>
      </c>
    </row>
    <row r="180" customFormat="false" ht="14.25" hidden="false" customHeight="false" outlineLevel="0" collapsed="false">
      <c r="A180" s="55" t="s">
        <v>303</v>
      </c>
      <c r="C180" s="55" t="n">
        <v>20</v>
      </c>
    </row>
    <row r="181" customFormat="false" ht="14.25" hidden="false" customHeight="false" outlineLevel="0" collapsed="false">
      <c r="A181" s="55" t="s">
        <v>297</v>
      </c>
      <c r="B181" s="55" t="n">
        <v>22.1</v>
      </c>
      <c r="C181" s="55" t="n">
        <v>22.4</v>
      </c>
    </row>
    <row r="182" customFormat="false" ht="14.25" hidden="false" customHeight="false" outlineLevel="0" collapsed="false">
      <c r="A182" s="55" t="s">
        <v>313</v>
      </c>
      <c r="B182" s="55" t="n">
        <v>22.6</v>
      </c>
      <c r="C182" s="55" t="n">
        <v>22.8</v>
      </c>
    </row>
    <row r="183" customFormat="false" ht="14.25" hidden="false" customHeight="false" outlineLevel="0" collapsed="false">
      <c r="A183" s="55" t="s">
        <v>295</v>
      </c>
    </row>
    <row r="184" customFormat="false" ht="14.25" hidden="false" customHeight="false" outlineLevel="0" collapsed="false">
      <c r="A184" s="55" t="s">
        <v>293</v>
      </c>
    </row>
    <row r="185" customFormat="false" ht="14.25" hidden="false" customHeight="false" outlineLevel="0" collapsed="false">
      <c r="A185" s="55" t="s">
        <v>301</v>
      </c>
    </row>
    <row r="186" customFormat="false" ht="14.25" hidden="false" customHeight="false" outlineLevel="0" collapsed="false">
      <c r="A186" s="55" t="s">
        <v>525</v>
      </c>
    </row>
    <row r="187" customFormat="false" ht="14.25" hidden="false" customHeight="false" outlineLevel="0" collapsed="false">
      <c r="A187" s="55" t="s">
        <v>315</v>
      </c>
    </row>
    <row r="188" customFormat="false" ht="14.25" hidden="false" customHeight="false" outlineLevel="0" collapsed="false">
      <c r="A188" s="55" t="s">
        <v>527</v>
      </c>
    </row>
    <row r="189" customFormat="false" ht="14.25" hidden="false" customHeight="false" outlineLevel="0" collapsed="false">
      <c r="A189" s="55" t="s">
        <v>317</v>
      </c>
      <c r="B189" s="55" t="n">
        <v>20.9</v>
      </c>
    </row>
    <row r="190" customFormat="false" ht="14.25" hidden="false" customHeight="false" outlineLevel="0" collapsed="false">
      <c r="A190" s="55" t="s">
        <v>321</v>
      </c>
      <c r="B190" s="55" t="n">
        <v>20.7</v>
      </c>
      <c r="C190" s="55" t="n">
        <v>20.7</v>
      </c>
    </row>
    <row r="191" customFormat="false" ht="14.25" hidden="false" customHeight="false" outlineLevel="0" collapsed="false">
      <c r="A191" s="55" t="s">
        <v>327</v>
      </c>
      <c r="B191" s="55" t="n">
        <v>21.1</v>
      </c>
      <c r="C191" s="55" t="n">
        <v>22.2</v>
      </c>
    </row>
    <row r="192" customFormat="false" ht="14.25" hidden="false" customHeight="false" outlineLevel="0" collapsed="false">
      <c r="A192" s="55" t="s">
        <v>329</v>
      </c>
    </row>
    <row r="193" customFormat="false" ht="14.25" hidden="false" customHeight="false" outlineLevel="0" collapsed="false">
      <c r="A193" s="55" t="s">
        <v>319</v>
      </c>
    </row>
    <row r="194" customFormat="false" ht="14.25" hidden="false" customHeight="false" outlineLevel="0" collapsed="false">
      <c r="A194" s="55" t="s">
        <v>323</v>
      </c>
    </row>
    <row r="195" customFormat="false" ht="14.25" hidden="false" customHeight="false" outlineLevel="0" collapsed="false">
      <c r="A195" s="55" t="s">
        <v>331</v>
      </c>
      <c r="B195" s="55" t="n">
        <v>22.5</v>
      </c>
      <c r="C195" s="55" t="n">
        <v>22.8</v>
      </c>
    </row>
    <row r="196" customFormat="false" ht="14.25" hidden="false" customHeight="false" outlineLevel="0" collapsed="false">
      <c r="A196" s="55" t="s">
        <v>533</v>
      </c>
    </row>
    <row r="197" customFormat="false" ht="14.25" hidden="false" customHeight="false" outlineLevel="0" collapsed="false">
      <c r="A197" s="55" t="s">
        <v>335</v>
      </c>
    </row>
    <row r="198" customFormat="false" ht="14.25" hidden="false" customHeight="false" outlineLevel="0" collapsed="false">
      <c r="A198" s="55" t="s">
        <v>225</v>
      </c>
    </row>
    <row r="199" customFormat="false" ht="14.25" hidden="false" customHeight="false" outlineLevel="0" collapsed="false">
      <c r="A199" s="55" t="s">
        <v>333</v>
      </c>
      <c r="B199" s="55" t="n">
        <v>21.7</v>
      </c>
      <c r="C199" s="55" t="n">
        <v>22.3</v>
      </c>
    </row>
    <row r="200" customFormat="false" ht="14.25" hidden="false" customHeight="false" outlineLevel="0" collapsed="false">
      <c r="A200" s="55" t="s">
        <v>325</v>
      </c>
      <c r="B200" s="55" t="n">
        <v>18.9</v>
      </c>
      <c r="C200" s="55" t="n">
        <v>19.4</v>
      </c>
    </row>
    <row r="201" customFormat="false" ht="14.25" hidden="false" customHeight="false" outlineLevel="0" collapsed="false">
      <c r="A201" s="55" t="s">
        <v>445</v>
      </c>
      <c r="B201" s="55" t="n">
        <v>22.3</v>
      </c>
    </row>
    <row r="202" customFormat="false" ht="14.25" hidden="false" customHeight="false" outlineLevel="0" collapsed="false">
      <c r="A202" s="55" t="s">
        <v>529</v>
      </c>
    </row>
    <row r="203" customFormat="false" ht="14.25" hidden="false" customHeight="false" outlineLevel="0" collapsed="false">
      <c r="A203" s="55" t="s">
        <v>531</v>
      </c>
    </row>
    <row r="204" customFormat="false" ht="14.25" hidden="false" customHeight="false" outlineLevel="0" collapsed="false">
      <c r="A204" s="55" t="s">
        <v>157</v>
      </c>
    </row>
    <row r="205" customFormat="false" ht="14.25" hidden="false" customHeight="false" outlineLevel="0" collapsed="false">
      <c r="A205" s="55" t="s">
        <v>337</v>
      </c>
    </row>
    <row r="206" customFormat="false" ht="14.25" hidden="false" customHeight="false" outlineLevel="0" collapsed="false">
      <c r="A206" s="55" t="s">
        <v>339</v>
      </c>
      <c r="B206" s="55" t="n">
        <v>23.2</v>
      </c>
      <c r="C206" s="55" t="n">
        <v>24.7</v>
      </c>
    </row>
    <row r="207" customFormat="false" ht="14.25" hidden="false" customHeight="false" outlineLevel="0" collapsed="false">
      <c r="A207" s="55" t="s">
        <v>341</v>
      </c>
      <c r="B207" s="55" t="n">
        <v>21.2</v>
      </c>
      <c r="C207" s="55" t="n">
        <v>21</v>
      </c>
    </row>
    <row r="208" customFormat="false" ht="14.25" hidden="false" customHeight="false" outlineLevel="0" collapsed="false">
      <c r="A208" s="55" t="s">
        <v>343</v>
      </c>
    </row>
    <row r="209" customFormat="false" ht="14.25" hidden="false" customHeight="false" outlineLevel="0" collapsed="false">
      <c r="A209" s="55" t="s">
        <v>537</v>
      </c>
    </row>
    <row r="210" customFormat="false" ht="14.25" hidden="false" customHeight="false" outlineLevel="0" collapsed="false">
      <c r="A210" s="55" t="s">
        <v>351</v>
      </c>
    </row>
    <row r="211" customFormat="false" ht="14.25" hidden="false" customHeight="false" outlineLevel="0" collapsed="false">
      <c r="A211" s="55" t="s">
        <v>389</v>
      </c>
      <c r="C211" s="55" t="n">
        <v>21.6</v>
      </c>
    </row>
    <row r="212" customFormat="false" ht="14.25" hidden="false" customHeight="false" outlineLevel="0" collapsed="false">
      <c r="A212" s="55" t="s">
        <v>353</v>
      </c>
    </row>
    <row r="213" customFormat="false" ht="14.25" hidden="false" customHeight="false" outlineLevel="0" collapsed="false">
      <c r="A213" s="55" t="s">
        <v>361</v>
      </c>
    </row>
    <row r="214" customFormat="false" ht="14.25" hidden="false" customHeight="false" outlineLevel="0" collapsed="false">
      <c r="A214" s="55" t="s">
        <v>369</v>
      </c>
    </row>
    <row r="215" customFormat="false" ht="14.25" hidden="false" customHeight="false" outlineLevel="0" collapsed="false">
      <c r="A215" s="55" t="s">
        <v>359</v>
      </c>
    </row>
    <row r="216" customFormat="false" ht="14.25" hidden="false" customHeight="false" outlineLevel="0" collapsed="false">
      <c r="A216" s="55" t="s">
        <v>137</v>
      </c>
      <c r="B216" s="55" t="n">
        <v>20.5</v>
      </c>
      <c r="C216" s="55" t="n">
        <v>21.4</v>
      </c>
    </row>
    <row r="217" customFormat="false" ht="14.25" hidden="false" customHeight="false" outlineLevel="0" collapsed="false">
      <c r="A217" s="55" t="s">
        <v>347</v>
      </c>
    </row>
    <row r="218" customFormat="false" ht="14.25" hidden="false" customHeight="false" outlineLevel="0" collapsed="false">
      <c r="A218" s="55" t="s">
        <v>371</v>
      </c>
    </row>
    <row r="219" customFormat="false" ht="14.25" hidden="false" customHeight="false" outlineLevel="0" collapsed="false">
      <c r="A219" s="55" t="s">
        <v>355</v>
      </c>
      <c r="C219" s="55" t="n">
        <v>23.6</v>
      </c>
    </row>
    <row r="220" customFormat="false" ht="14.25" hidden="false" customHeight="false" outlineLevel="0" collapsed="false">
      <c r="A220" s="55" t="s">
        <v>543</v>
      </c>
    </row>
    <row r="221" customFormat="false" ht="14.25" hidden="false" customHeight="false" outlineLevel="0" collapsed="false">
      <c r="A221" s="55" t="s">
        <v>375</v>
      </c>
    </row>
    <row r="222" customFormat="false" ht="14.25" hidden="false" customHeight="false" outlineLevel="0" collapsed="false">
      <c r="A222" s="55" t="s">
        <v>541</v>
      </c>
    </row>
    <row r="223" customFormat="false" ht="14.25" hidden="false" customHeight="false" outlineLevel="0" collapsed="false">
      <c r="A223" s="55" t="s">
        <v>535</v>
      </c>
    </row>
    <row r="224" customFormat="false" ht="14.25" hidden="false" customHeight="false" outlineLevel="0" collapsed="false">
      <c r="A224" s="55" t="s">
        <v>349</v>
      </c>
    </row>
    <row r="225" customFormat="false" ht="14.25" hidden="false" customHeight="false" outlineLevel="0" collapsed="false">
      <c r="A225" s="55" t="s">
        <v>391</v>
      </c>
    </row>
    <row r="226" customFormat="false" ht="14.25" hidden="false" customHeight="false" outlineLevel="0" collapsed="false">
      <c r="A226" s="55" t="s">
        <v>365</v>
      </c>
      <c r="B226" s="55" t="n">
        <v>22.3</v>
      </c>
      <c r="C226" s="55" t="n">
        <v>23.5</v>
      </c>
    </row>
    <row r="227" customFormat="false" ht="14.25" hidden="false" customHeight="false" outlineLevel="0" collapsed="false">
      <c r="A227" s="55" t="s">
        <v>367</v>
      </c>
      <c r="B227" s="55" t="n">
        <v>22.6</v>
      </c>
      <c r="C227" s="55" t="n">
        <v>22.5</v>
      </c>
    </row>
    <row r="228" customFormat="false" ht="14.25" hidden="false" customHeight="false" outlineLevel="0" collapsed="false">
      <c r="A228" s="55" t="s">
        <v>393</v>
      </c>
      <c r="B228" s="55" t="n">
        <v>22.8</v>
      </c>
      <c r="C228" s="55" t="n">
        <v>22.9</v>
      </c>
    </row>
    <row r="229" customFormat="false" ht="14.25" hidden="false" customHeight="false" outlineLevel="0" collapsed="false">
      <c r="A229" s="55" t="s">
        <v>145</v>
      </c>
    </row>
    <row r="230" customFormat="false" ht="14.25" hidden="false" customHeight="false" outlineLevel="0" collapsed="false">
      <c r="A230" s="55" t="s">
        <v>363</v>
      </c>
    </row>
    <row r="231" customFormat="false" ht="14.25" hidden="false" customHeight="false" outlineLevel="0" collapsed="false">
      <c r="A231" s="55" t="s">
        <v>357</v>
      </c>
    </row>
    <row r="232" customFormat="false" ht="14.25" hidden="false" customHeight="false" outlineLevel="0" collapsed="false">
      <c r="A232" s="55" t="s">
        <v>397</v>
      </c>
    </row>
    <row r="233" customFormat="false" ht="14.25" hidden="false" customHeight="false" outlineLevel="0" collapsed="false">
      <c r="A233" s="55" t="s">
        <v>419</v>
      </c>
    </row>
    <row r="234" customFormat="false" ht="14.25" hidden="false" customHeight="false" outlineLevel="0" collapsed="false">
      <c r="A234" s="55" t="s">
        <v>95</v>
      </c>
    </row>
    <row r="235" customFormat="false" ht="14.25" hidden="false" customHeight="false" outlineLevel="0" collapsed="false">
      <c r="A235" s="55" t="s">
        <v>469</v>
      </c>
    </row>
    <row r="236" customFormat="false" ht="14.25" hidden="false" customHeight="false" outlineLevel="0" collapsed="false">
      <c r="A236" s="55" t="s">
        <v>477</v>
      </c>
    </row>
    <row r="237" customFormat="false" ht="14.25" hidden="false" customHeight="false" outlineLevel="0" collapsed="false">
      <c r="A237" s="55" t="s">
        <v>407</v>
      </c>
    </row>
    <row r="238" customFormat="false" ht="14.25" hidden="false" customHeight="false" outlineLevel="0" collapsed="false">
      <c r="A238" s="55" t="s">
        <v>403</v>
      </c>
      <c r="B238" s="55" t="n">
        <v>21.7</v>
      </c>
      <c r="C238" s="55" t="n">
        <v>22.1</v>
      </c>
    </row>
    <row r="239" customFormat="false" ht="14.25" hidden="false" customHeight="false" outlineLevel="0" collapsed="false">
      <c r="A239" s="55" t="s">
        <v>399</v>
      </c>
      <c r="B239" s="55" t="n">
        <v>22.7</v>
      </c>
    </row>
    <row r="240" customFormat="false" ht="14.25" hidden="false" customHeight="false" outlineLevel="0" collapsed="false">
      <c r="A240" s="55" t="s">
        <v>417</v>
      </c>
    </row>
    <row r="241" customFormat="false" ht="14.25" hidden="false" customHeight="false" outlineLevel="0" collapsed="false">
      <c r="A241" s="55" t="s">
        <v>503</v>
      </c>
    </row>
    <row r="242" customFormat="false" ht="14.25" hidden="false" customHeight="false" outlineLevel="0" collapsed="false">
      <c r="A242" s="55" t="s">
        <v>405</v>
      </c>
      <c r="B242" s="55" t="n">
        <v>22.3</v>
      </c>
      <c r="C242" s="55" t="n">
        <v>21.8</v>
      </c>
    </row>
    <row r="243" customFormat="false" ht="14.25" hidden="false" customHeight="false" outlineLevel="0" collapsed="false">
      <c r="A243" s="55" t="s">
        <v>517</v>
      </c>
    </row>
    <row r="244" customFormat="false" ht="14.25" hidden="false" customHeight="false" outlineLevel="0" collapsed="false">
      <c r="A244" s="55" t="s">
        <v>409</v>
      </c>
    </row>
    <row r="245" customFormat="false" ht="14.25" hidden="false" customHeight="false" outlineLevel="0" collapsed="false">
      <c r="A245" s="55" t="s">
        <v>539</v>
      </c>
    </row>
    <row r="246" customFormat="false" ht="14.25" hidden="false" customHeight="false" outlineLevel="0" collapsed="false">
      <c r="A246" s="55" t="s">
        <v>545</v>
      </c>
    </row>
    <row r="247" customFormat="false" ht="14.25" hidden="false" customHeight="false" outlineLevel="0" collapsed="false">
      <c r="A247" s="55" t="s">
        <v>411</v>
      </c>
    </row>
    <row r="248" customFormat="false" ht="14.25" hidden="false" customHeight="false" outlineLevel="0" collapsed="false">
      <c r="A248" s="55" t="s">
        <v>413</v>
      </c>
    </row>
    <row r="249" customFormat="false" ht="14.25" hidden="false" customHeight="false" outlineLevel="0" collapsed="false">
      <c r="A249" s="55" t="s">
        <v>415</v>
      </c>
      <c r="B249" s="55" t="n">
        <v>22.7</v>
      </c>
      <c r="C249" s="55" t="n">
        <v>21.6</v>
      </c>
    </row>
    <row r="250" customFormat="false" ht="14.25" hidden="false" customHeight="false" outlineLevel="0" collapsed="false">
      <c r="A250" s="55" t="s">
        <v>421</v>
      </c>
    </row>
    <row r="251" customFormat="false" ht="14.25" hidden="false" customHeight="false" outlineLevel="0" collapsed="false">
      <c r="A251" s="55" t="s">
        <v>401</v>
      </c>
      <c r="B251" s="55" t="n">
        <v>21.1</v>
      </c>
    </row>
    <row r="252" customFormat="false" ht="14.25" hidden="false" customHeight="false" outlineLevel="0" collapsed="false">
      <c r="A252" s="55" t="s">
        <v>423</v>
      </c>
    </row>
    <row r="253" customFormat="false" ht="14.25" hidden="false" customHeight="false" outlineLevel="0" collapsed="false">
      <c r="A253" s="55" t="s">
        <v>425</v>
      </c>
      <c r="B253" s="55" t="n">
        <v>22.5</v>
      </c>
      <c r="C253" s="55" t="n">
        <v>22.4</v>
      </c>
    </row>
    <row r="254" customFormat="false" ht="14.25" hidden="false" customHeight="false" outlineLevel="0" collapsed="false">
      <c r="A254" s="55" t="s">
        <v>547</v>
      </c>
    </row>
    <row r="255" customFormat="false" ht="14.25" hidden="false" customHeight="false" outlineLevel="0" collapsed="false">
      <c r="A255" s="55" t="s">
        <v>433</v>
      </c>
      <c r="B255" s="55" t="n">
        <v>21.1</v>
      </c>
      <c r="C255" s="55" t="n">
        <v>22.5</v>
      </c>
    </row>
    <row r="256" customFormat="false" ht="14.25" hidden="false" customHeight="false" outlineLevel="0" collapsed="false">
      <c r="A256" s="55" t="s">
        <v>431</v>
      </c>
      <c r="B256" s="55" t="n">
        <v>22.4</v>
      </c>
      <c r="C256" s="55" t="n">
        <v>22.4</v>
      </c>
    </row>
    <row r="257" customFormat="false" ht="14.25" hidden="false" customHeight="false" outlineLevel="0" collapsed="false">
      <c r="A257" s="55" t="s">
        <v>435</v>
      </c>
    </row>
    <row r="258" customFormat="false" ht="14.25" hidden="false" customHeight="false" outlineLevel="0" collapsed="false">
      <c r="A258" s="55" t="s">
        <v>387</v>
      </c>
    </row>
    <row r="259" customFormat="false" ht="14.25" hidden="false" customHeight="false" outlineLevel="0" collapsed="false">
      <c r="A259" s="55" t="s">
        <v>439</v>
      </c>
    </row>
    <row r="260" customFormat="false" ht="14.25" hidden="false" customHeight="false" outlineLevel="0" collapsed="false">
      <c r="A260" s="55" t="s">
        <v>73</v>
      </c>
    </row>
    <row r="261" customFormat="false" ht="14.25" hidden="false" customHeight="false" outlineLevel="0" collapsed="false">
      <c r="A261" s="55" t="s">
        <v>443</v>
      </c>
    </row>
    <row r="262" customFormat="false" ht="14.25" hidden="false" customHeight="false" outlineLevel="0" collapsed="false">
      <c r="A262" s="55" t="s">
        <v>441</v>
      </c>
      <c r="C262" s="55" t="n">
        <v>22.4</v>
      </c>
    </row>
    <row r="263" customFormat="false" ht="14.25" hidden="false" customHeight="false" outlineLevel="0" collapsed="false">
      <c r="A263" s="55" t="s">
        <v>437</v>
      </c>
    </row>
    <row r="264" customFormat="false" ht="14.25" hidden="false" customHeight="false" outlineLevel="0" collapsed="false">
      <c r="A264" s="55" t="s">
        <v>549</v>
      </c>
    </row>
    <row r="265" customFormat="false" ht="14.25" hidden="false" customHeight="false" outlineLevel="0" collapsed="false">
      <c r="A265" s="55" t="s">
        <v>345</v>
      </c>
    </row>
    <row r="266" customFormat="false" ht="14.25" hidden="false" customHeight="false" outlineLevel="0" collapsed="false">
      <c r="A266" s="55" t="s">
        <v>229</v>
      </c>
      <c r="C266" s="55" t="n">
        <v>22.7</v>
      </c>
    </row>
    <row r="267" customFormat="false" ht="14.25" hidden="false" customHeight="false" outlineLevel="0" collapsed="false">
      <c r="A267" s="55" t="s">
        <v>447</v>
      </c>
      <c r="C267" s="55" t="n">
        <v>21.2</v>
      </c>
    </row>
    <row r="268" customFormat="false" ht="14.25" hidden="false" customHeight="false" outlineLevel="0" collapsed="false">
      <c r="A268" s="55" t="s">
        <v>373</v>
      </c>
      <c r="C268" s="55" t="n">
        <v>16.5</v>
      </c>
    </row>
    <row r="269" customFormat="false" ht="14.25" hidden="false" customHeight="false" outlineLevel="0" collapsed="false">
      <c r="A269" s="55" t="s">
        <v>449</v>
      </c>
    </row>
    <row r="270" customFormat="false" ht="14.25" hidden="false" customHeight="false" outlineLevel="0" collapsed="false">
      <c r="A270" s="55" t="s">
        <v>451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1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I12" activeCellId="0" sqref="I12"/>
    </sheetView>
  </sheetViews>
  <sheetFormatPr defaultColWidth="8.55078125" defaultRowHeight="14.25" zeroHeight="false" outlineLevelRow="0" outlineLevelCol="0"/>
  <cols>
    <col collapsed="false" customWidth="true" hidden="false" outlineLevel="0" max="1" min="1" style="0" width="44.11"/>
    <col collapsed="false" customWidth="true" hidden="false" outlineLevel="0" max="2" min="2" style="0" width="11.78"/>
    <col collapsed="false" customWidth="true" hidden="false" outlineLevel="0" max="3" min="3" style="0" width="10"/>
    <col collapsed="false" customWidth="true" hidden="false" outlineLevel="0" max="4" min="4" style="0" width="10.56"/>
    <col collapsed="false" customWidth="true" hidden="false" outlineLevel="0" max="5" min="5" style="0" width="11"/>
    <col collapsed="false" customWidth="true" hidden="false" outlineLevel="0" max="9" min="9" style="0" width="23.67"/>
  </cols>
  <sheetData>
    <row r="1" customFormat="false" ht="14.25" hidden="false" customHeight="false" outlineLevel="0" collapsed="false">
      <c r="A1" s="0" t="s">
        <v>579</v>
      </c>
      <c r="B1" s="0" t="s">
        <v>580</v>
      </c>
      <c r="C1" s="0" t="s">
        <v>581</v>
      </c>
      <c r="D1" s="0" t="s">
        <v>582</v>
      </c>
      <c r="E1" s="0" t="s">
        <v>583</v>
      </c>
      <c r="F1" s="0" t="s">
        <v>584</v>
      </c>
    </row>
    <row r="2" customFormat="false" ht="14.25" hidden="false" customHeight="false" outlineLevel="0" collapsed="false">
      <c r="A2" s="0" t="s">
        <v>21</v>
      </c>
      <c r="B2" s="0" t="n">
        <v>41.7</v>
      </c>
      <c r="C2" s="55" t="n">
        <v>23.3</v>
      </c>
      <c r="D2" s="55" t="n">
        <v>7</v>
      </c>
      <c r="E2" s="2" t="n">
        <f aca="false">C2+D2</f>
        <v>30.3</v>
      </c>
      <c r="F2" s="2" t="n">
        <f aca="false">B2/E2</f>
        <v>1.37623762376238</v>
      </c>
      <c r="J2" s="2" t="s">
        <v>585</v>
      </c>
    </row>
    <row r="3" customFormat="false" ht="14.25" hidden="false" customHeight="false" outlineLevel="0" collapsed="false">
      <c r="A3" s="0" t="s">
        <v>33</v>
      </c>
      <c r="B3" s="0" t="n">
        <v>46.8</v>
      </c>
      <c r="C3" s="55" t="n">
        <v>23.1</v>
      </c>
      <c r="D3" s="55" t="n">
        <v>5.1</v>
      </c>
      <c r="E3" s="2" t="n">
        <f aca="false">C3+D3</f>
        <v>28.2</v>
      </c>
      <c r="F3" s="2" t="n">
        <f aca="false">B3/E3</f>
        <v>1.65957446808511</v>
      </c>
    </row>
    <row r="4" customFormat="false" ht="14.25" hidden="false" customHeight="false" outlineLevel="0" collapsed="false">
      <c r="A4" s="0" t="s">
        <v>35</v>
      </c>
      <c r="B4" s="0" t="n">
        <v>40</v>
      </c>
      <c r="C4" s="55" t="n">
        <v>22</v>
      </c>
      <c r="D4" s="55" t="n">
        <v>8.4</v>
      </c>
      <c r="E4" s="2" t="n">
        <f aca="false">C4+D4</f>
        <v>30.4</v>
      </c>
      <c r="F4" s="2" t="n">
        <f aca="false">B4/E4</f>
        <v>1.31578947368421</v>
      </c>
    </row>
    <row r="5" customFormat="false" ht="14.25" hidden="false" customHeight="false" outlineLevel="0" collapsed="false">
      <c r="A5" s="0" t="s">
        <v>39</v>
      </c>
      <c r="B5" s="0" t="n">
        <v>42.1</v>
      </c>
      <c r="C5" s="55" t="n">
        <v>22.1</v>
      </c>
      <c r="D5" s="55" t="n">
        <v>7.4</v>
      </c>
      <c r="E5" s="2" t="n">
        <f aca="false">C5+D5</f>
        <v>29.5</v>
      </c>
      <c r="F5" s="2" t="n">
        <f aca="false">B5/E5</f>
        <v>1.4271186440678</v>
      </c>
    </row>
    <row r="6" customFormat="false" ht="14.25" hidden="false" customHeight="false" outlineLevel="0" collapsed="false">
      <c r="A6" s="0" t="s">
        <v>41</v>
      </c>
      <c r="B6" s="0" t="n">
        <v>38.7</v>
      </c>
      <c r="C6" s="55" t="n">
        <v>22.7</v>
      </c>
      <c r="D6" s="55" t="n">
        <v>8</v>
      </c>
      <c r="E6" s="2" t="n">
        <f aca="false">C6+D6</f>
        <v>30.7</v>
      </c>
      <c r="F6" s="2" t="n">
        <f aca="false">B6/E6</f>
        <v>1.26058631921824</v>
      </c>
    </row>
    <row r="7" customFormat="false" ht="14.25" hidden="false" customHeight="false" outlineLevel="0" collapsed="false">
      <c r="A7" s="0" t="s">
        <v>53</v>
      </c>
      <c r="B7" s="0" t="n">
        <v>36.7</v>
      </c>
      <c r="C7" s="55" t="n">
        <v>22.4</v>
      </c>
      <c r="D7" s="55" t="n">
        <v>9.3</v>
      </c>
      <c r="E7" s="2" t="n">
        <f aca="false">C7+D7</f>
        <v>31.7</v>
      </c>
      <c r="F7" s="2" t="n">
        <f aca="false">B7/E7</f>
        <v>1.15772870662461</v>
      </c>
    </row>
    <row r="8" customFormat="false" ht="14.25" hidden="false" customHeight="false" outlineLevel="0" collapsed="false">
      <c r="A8" s="0" t="s">
        <v>55</v>
      </c>
      <c r="B8" s="0" t="n">
        <v>36.9</v>
      </c>
      <c r="C8" s="55" t="n">
        <v>22.8</v>
      </c>
      <c r="D8" s="55" t="n">
        <v>8.6</v>
      </c>
      <c r="E8" s="2" t="n">
        <f aca="false">C8+D8</f>
        <v>31.4</v>
      </c>
      <c r="F8" s="2" t="n">
        <f aca="false">B8/E8</f>
        <v>1.17515923566879</v>
      </c>
    </row>
    <row r="9" customFormat="false" ht="14.25" hidden="false" customHeight="false" outlineLevel="0" collapsed="false">
      <c r="A9" s="0" t="s">
        <v>65</v>
      </c>
      <c r="B9" s="0" t="n">
        <v>52.3</v>
      </c>
      <c r="C9" s="55" t="n">
        <v>21.3</v>
      </c>
      <c r="D9" s="55" t="n">
        <v>3.8</v>
      </c>
      <c r="E9" s="2" t="n">
        <f aca="false">C9+D9</f>
        <v>25.1</v>
      </c>
      <c r="F9" s="2" t="n">
        <f aca="false">B9/E9</f>
        <v>2.08366533864542</v>
      </c>
    </row>
    <row r="10" customFormat="false" ht="14.25" hidden="false" customHeight="false" outlineLevel="0" collapsed="false">
      <c r="A10" s="0" t="s">
        <v>71</v>
      </c>
      <c r="B10" s="0" t="n">
        <v>57</v>
      </c>
      <c r="C10" s="55" t="n">
        <v>19.4</v>
      </c>
      <c r="D10" s="55" t="n">
        <v>3.6</v>
      </c>
      <c r="E10" s="2" t="n">
        <f aca="false">C10+D10</f>
        <v>23</v>
      </c>
      <c r="F10" s="2" t="n">
        <f aca="false">B10/E10</f>
        <v>2.47826086956522</v>
      </c>
    </row>
    <row r="11" customFormat="false" ht="14.25" hidden="false" customHeight="false" outlineLevel="0" collapsed="false">
      <c r="A11" s="0" t="s">
        <v>77</v>
      </c>
      <c r="B11" s="0" t="n">
        <v>43.9</v>
      </c>
      <c r="C11" s="55" t="n">
        <v>22.1</v>
      </c>
      <c r="D11" s="55" t="n">
        <v>6</v>
      </c>
      <c r="E11" s="2" t="n">
        <f aca="false">C11+D11</f>
        <v>28.1</v>
      </c>
      <c r="F11" s="2" t="n">
        <f aca="false">B11/E11</f>
        <v>1.56227758007117</v>
      </c>
    </row>
    <row r="12" customFormat="false" ht="14.25" hidden="false" customHeight="false" outlineLevel="0" collapsed="false">
      <c r="A12" s="0" t="s">
        <v>79</v>
      </c>
      <c r="B12" s="0" t="n">
        <v>44.3</v>
      </c>
      <c r="C12" s="55" t="n">
        <v>20.6</v>
      </c>
      <c r="D12" s="55" t="n">
        <v>8.3</v>
      </c>
      <c r="E12" s="2" t="n">
        <f aca="false">C12+D12</f>
        <v>28.9</v>
      </c>
      <c r="F12" s="2" t="n">
        <f aca="false">B12/E12</f>
        <v>1.53287197231834</v>
      </c>
    </row>
    <row r="13" customFormat="false" ht="14.25" hidden="false" customHeight="false" outlineLevel="0" collapsed="false">
      <c r="A13" s="0" t="s">
        <v>89</v>
      </c>
      <c r="B13" s="0" t="n">
        <v>40.4</v>
      </c>
      <c r="C13" s="55" t="n">
        <v>22.9</v>
      </c>
      <c r="D13" s="55" t="n">
        <v>7.1</v>
      </c>
      <c r="E13" s="2" t="n">
        <f aca="false">C13+D13</f>
        <v>30</v>
      </c>
      <c r="F13" s="2" t="n">
        <f aca="false">B13/E13</f>
        <v>1.34666666666667</v>
      </c>
    </row>
    <row r="14" customFormat="false" ht="14.25" hidden="false" customHeight="false" outlineLevel="0" collapsed="false">
      <c r="A14" s="0" t="s">
        <v>101</v>
      </c>
      <c r="B14" s="0" t="n">
        <v>45.8</v>
      </c>
      <c r="C14" s="55" t="n">
        <v>22.3</v>
      </c>
      <c r="D14" s="55" t="n">
        <v>6.2</v>
      </c>
      <c r="E14" s="2" t="n">
        <f aca="false">C14+D14</f>
        <v>28.5</v>
      </c>
      <c r="F14" s="2" t="n">
        <f aca="false">B14/E14</f>
        <v>1.60701754385965</v>
      </c>
    </row>
    <row r="15" customFormat="false" ht="14.25" hidden="false" customHeight="false" outlineLevel="0" collapsed="false">
      <c r="A15" s="0" t="s">
        <v>103</v>
      </c>
      <c r="B15" s="0" t="n">
        <v>57.2</v>
      </c>
      <c r="C15" s="55" t="n">
        <v>19.6</v>
      </c>
      <c r="D15" s="55" t="n">
        <v>3.6</v>
      </c>
      <c r="E15" s="2" t="n">
        <f aca="false">C15+D15</f>
        <v>23.2</v>
      </c>
      <c r="F15" s="2" t="n">
        <f aca="false">B15/E15</f>
        <v>2.46551724137931</v>
      </c>
    </row>
    <row r="16" customFormat="false" ht="14.25" hidden="false" customHeight="false" outlineLevel="0" collapsed="false">
      <c r="A16" s="0" t="s">
        <v>105</v>
      </c>
      <c r="B16" s="0" t="n">
        <v>50.4</v>
      </c>
      <c r="C16" s="55" t="n">
        <v>22.2</v>
      </c>
      <c r="D16" s="55" t="n">
        <v>4.5</v>
      </c>
      <c r="E16" s="2" t="n">
        <f aca="false">C16+D16</f>
        <v>26.7</v>
      </c>
      <c r="F16" s="2" t="n">
        <f aca="false">B16/E16</f>
        <v>1.8876404494382</v>
      </c>
    </row>
    <row r="17" customFormat="false" ht="14.25" hidden="false" customHeight="false" outlineLevel="0" collapsed="false">
      <c r="A17" s="0" t="s">
        <v>111</v>
      </c>
      <c r="B17" s="0" t="n">
        <v>54</v>
      </c>
      <c r="C17" s="55" t="n">
        <v>20.8</v>
      </c>
      <c r="D17" s="55" t="n">
        <v>4.2</v>
      </c>
      <c r="E17" s="2" t="n">
        <f aca="false">C17+D17</f>
        <v>25</v>
      </c>
      <c r="F17" s="2" t="n">
        <f aca="false">B17/E17</f>
        <v>2.16</v>
      </c>
    </row>
    <row r="18" customFormat="false" ht="14.25" hidden="false" customHeight="false" outlineLevel="0" collapsed="false">
      <c r="A18" s="0" t="s">
        <v>115</v>
      </c>
      <c r="B18" s="0" t="n">
        <v>39.1</v>
      </c>
      <c r="C18" s="55" t="n">
        <v>23.6</v>
      </c>
      <c r="D18" s="55" t="n">
        <v>7.1</v>
      </c>
      <c r="E18" s="2" t="n">
        <f aca="false">C18+D18</f>
        <v>30.7</v>
      </c>
      <c r="F18" s="2" t="n">
        <f aca="false">B18/E18</f>
        <v>1.27361563517915</v>
      </c>
    </row>
    <row r="19" customFormat="false" ht="14.25" hidden="false" customHeight="false" outlineLevel="0" collapsed="false">
      <c r="A19" s="0" t="s">
        <v>121</v>
      </c>
      <c r="B19" s="0" t="n">
        <v>43.6</v>
      </c>
      <c r="C19" s="55" t="n">
        <v>21.3</v>
      </c>
      <c r="D19" s="55" t="n">
        <v>7.6</v>
      </c>
      <c r="E19" s="2" t="n">
        <f aca="false">C19+D19</f>
        <v>28.9</v>
      </c>
      <c r="F19" s="2" t="n">
        <f aca="false">B19/E19</f>
        <v>1.50865051903114</v>
      </c>
    </row>
    <row r="20" customFormat="false" ht="14.25" hidden="false" customHeight="false" outlineLevel="0" collapsed="false">
      <c r="A20" s="0" t="s">
        <v>123</v>
      </c>
      <c r="B20" s="0" t="n">
        <v>36</v>
      </c>
      <c r="C20" s="55" t="n">
        <v>21.9</v>
      </c>
      <c r="D20" s="55" t="n">
        <v>9.7</v>
      </c>
      <c r="E20" s="2" t="n">
        <f aca="false">C20+D20</f>
        <v>31.6</v>
      </c>
      <c r="F20" s="2" t="n">
        <f aca="false">B20/E20</f>
        <v>1.13924050632911</v>
      </c>
    </row>
    <row r="21" customFormat="false" ht="14.25" hidden="false" customHeight="false" outlineLevel="0" collapsed="false">
      <c r="A21" s="0" t="s">
        <v>125</v>
      </c>
      <c r="B21" s="0" t="n">
        <v>37.7</v>
      </c>
      <c r="C21" s="55" t="n">
        <v>22</v>
      </c>
      <c r="D21" s="55" t="n">
        <v>9.1</v>
      </c>
      <c r="E21" s="2" t="n">
        <f aca="false">C21+D21</f>
        <v>31.1</v>
      </c>
      <c r="F21" s="2" t="n">
        <f aca="false">B21/E21</f>
        <v>1.21221864951769</v>
      </c>
    </row>
    <row r="22" customFormat="false" ht="14.25" hidden="false" customHeight="false" outlineLevel="0" collapsed="false">
      <c r="A22" s="0" t="s">
        <v>131</v>
      </c>
      <c r="B22" s="0" t="n">
        <v>50.2</v>
      </c>
      <c r="C22" s="55" t="n">
        <v>21.5</v>
      </c>
      <c r="D22" s="55" t="n">
        <v>5.1</v>
      </c>
      <c r="E22" s="2" t="n">
        <f aca="false">C22+D22</f>
        <v>26.6</v>
      </c>
      <c r="F22" s="2" t="n">
        <f aca="false">B22/E22</f>
        <v>1.88721804511278</v>
      </c>
    </row>
    <row r="23" customFormat="false" ht="14.25" hidden="false" customHeight="false" outlineLevel="0" collapsed="false">
      <c r="A23" s="0" t="s">
        <v>133</v>
      </c>
      <c r="B23" s="0" t="n">
        <v>50.6</v>
      </c>
      <c r="C23" s="55" t="n">
        <v>21.2</v>
      </c>
      <c r="D23" s="55" t="n">
        <v>4.8</v>
      </c>
      <c r="E23" s="2" t="n">
        <f aca="false">C23+D23</f>
        <v>26</v>
      </c>
      <c r="F23" s="2" t="n">
        <f aca="false">B23/E23</f>
        <v>1.94615384615385</v>
      </c>
    </row>
    <row r="24" customFormat="false" ht="14.25" hidden="false" customHeight="false" outlineLevel="0" collapsed="false">
      <c r="A24" s="0" t="s">
        <v>137</v>
      </c>
      <c r="B24" s="0" t="n">
        <v>48</v>
      </c>
      <c r="C24" s="55" t="n">
        <v>21.4</v>
      </c>
      <c r="D24" s="55" t="n">
        <v>5.8</v>
      </c>
      <c r="E24" s="2" t="n">
        <f aca="false">C24+D24</f>
        <v>27.2</v>
      </c>
      <c r="F24" s="2" t="n">
        <f aca="false">B24/E24</f>
        <v>1.76470588235294</v>
      </c>
    </row>
    <row r="25" customFormat="false" ht="14.25" hidden="false" customHeight="false" outlineLevel="0" collapsed="false">
      <c r="A25" s="0" t="s">
        <v>143</v>
      </c>
      <c r="B25" s="0" t="n">
        <v>42.1</v>
      </c>
      <c r="C25" s="55" t="n">
        <v>22.6</v>
      </c>
      <c r="D25" s="55" t="n">
        <v>7</v>
      </c>
      <c r="E25" s="2" t="n">
        <f aca="false">C25+D25</f>
        <v>29.6</v>
      </c>
      <c r="F25" s="2" t="n">
        <f aca="false">B25/E25</f>
        <v>1.4222972972973</v>
      </c>
    </row>
    <row r="26" customFormat="false" ht="14.25" hidden="false" customHeight="false" outlineLevel="0" collapsed="false">
      <c r="A26" s="0" t="s">
        <v>153</v>
      </c>
      <c r="B26" s="0" t="n">
        <v>36.4</v>
      </c>
      <c r="C26" s="55" t="n">
        <v>22.5</v>
      </c>
      <c r="D26" s="55" t="n">
        <v>9.4</v>
      </c>
      <c r="E26" s="2" t="n">
        <f aca="false">C26+D26</f>
        <v>31.9</v>
      </c>
      <c r="F26" s="2" t="n">
        <f aca="false">B26/E26</f>
        <v>1.141065830721</v>
      </c>
    </row>
    <row r="27" customFormat="false" ht="14.25" hidden="false" customHeight="false" outlineLevel="0" collapsed="false">
      <c r="A27" s="0" t="s">
        <v>155</v>
      </c>
      <c r="B27" s="0" t="n">
        <v>40.6</v>
      </c>
      <c r="C27" s="55" t="n">
        <v>22</v>
      </c>
      <c r="D27" s="55" t="n">
        <v>8</v>
      </c>
      <c r="E27" s="2" t="n">
        <f aca="false">C27+D27</f>
        <v>30</v>
      </c>
      <c r="F27" s="2" t="n">
        <f aca="false">B27/E27</f>
        <v>1.35333333333333</v>
      </c>
    </row>
    <row r="28" customFormat="false" ht="14.25" hidden="false" customHeight="false" outlineLevel="0" collapsed="false">
      <c r="A28" s="0" t="s">
        <v>163</v>
      </c>
      <c r="B28" s="0" t="n">
        <v>44.3</v>
      </c>
      <c r="C28" s="55" t="n">
        <v>22.3</v>
      </c>
      <c r="D28" s="55" t="n">
        <v>6.4</v>
      </c>
      <c r="E28" s="2" t="n">
        <f aca="false">C28+D28</f>
        <v>28.7</v>
      </c>
      <c r="F28" s="2" t="n">
        <f aca="false">B28/E28</f>
        <v>1.54355400696864</v>
      </c>
    </row>
    <row r="29" customFormat="false" ht="14.25" hidden="false" customHeight="false" outlineLevel="0" collapsed="false">
      <c r="A29" s="0" t="s">
        <v>165</v>
      </c>
      <c r="B29" s="0" t="n">
        <v>39.1</v>
      </c>
      <c r="C29" s="55" t="n">
        <v>22.7</v>
      </c>
      <c r="D29" s="55" t="n">
        <v>8.1</v>
      </c>
      <c r="E29" s="2" t="n">
        <f aca="false">C29+D29</f>
        <v>30.8</v>
      </c>
      <c r="F29" s="2" t="n">
        <f aca="false">B29/E29</f>
        <v>1.26948051948052</v>
      </c>
    </row>
    <row r="30" customFormat="false" ht="14.25" hidden="false" customHeight="false" outlineLevel="0" collapsed="false">
      <c r="A30" s="0" t="s">
        <v>171</v>
      </c>
      <c r="B30" s="0" t="n">
        <v>41.9</v>
      </c>
      <c r="C30" s="55" t="n">
        <v>23.3</v>
      </c>
      <c r="D30" s="55" t="n">
        <v>5.9</v>
      </c>
      <c r="E30" s="2" t="n">
        <f aca="false">C30+D30</f>
        <v>29.2</v>
      </c>
      <c r="F30" s="2" t="n">
        <f aca="false">B30/E30</f>
        <v>1.43493150684932</v>
      </c>
    </row>
    <row r="31" customFormat="false" ht="14.25" hidden="false" customHeight="false" outlineLevel="0" collapsed="false">
      <c r="A31" s="0" t="s">
        <v>179</v>
      </c>
      <c r="B31" s="0" t="n">
        <v>53.6</v>
      </c>
      <c r="C31" s="55" t="n">
        <v>20.1</v>
      </c>
      <c r="D31" s="55" t="n">
        <v>4.5</v>
      </c>
      <c r="E31" s="2" t="n">
        <f aca="false">C31+D31</f>
        <v>24.6</v>
      </c>
      <c r="F31" s="2" t="n">
        <f aca="false">B31/E31</f>
        <v>2.17886178861789</v>
      </c>
    </row>
    <row r="32" customFormat="false" ht="14.25" hidden="false" customHeight="false" outlineLevel="0" collapsed="false">
      <c r="A32" s="0" t="s">
        <v>189</v>
      </c>
      <c r="B32" s="0" t="n">
        <v>54.5</v>
      </c>
      <c r="C32" s="55" t="n">
        <v>21</v>
      </c>
      <c r="D32" s="55" t="n">
        <v>3.7</v>
      </c>
      <c r="E32" s="2" t="n">
        <f aca="false">C32+D32</f>
        <v>24.7</v>
      </c>
      <c r="F32" s="2" t="n">
        <f aca="false">B32/E32</f>
        <v>2.20647773279352</v>
      </c>
    </row>
    <row r="33" customFormat="false" ht="14.25" hidden="false" customHeight="false" outlineLevel="0" collapsed="false">
      <c r="A33" s="0" t="s">
        <v>193</v>
      </c>
      <c r="B33" s="0" t="n">
        <v>38.7</v>
      </c>
      <c r="C33" s="55" t="n">
        <v>22.9</v>
      </c>
      <c r="D33" s="55" t="n">
        <v>7.6</v>
      </c>
      <c r="E33" s="2" t="n">
        <f aca="false">C33+D33</f>
        <v>30.5</v>
      </c>
      <c r="F33" s="2" t="n">
        <f aca="false">B33/E33</f>
        <v>1.26885245901639</v>
      </c>
    </row>
    <row r="34" customFormat="false" ht="14.25" hidden="false" customHeight="false" outlineLevel="0" collapsed="false">
      <c r="A34" s="0" t="s">
        <v>195</v>
      </c>
      <c r="B34" s="0" t="n">
        <v>37.3</v>
      </c>
      <c r="C34" s="55" t="n">
        <v>21.9</v>
      </c>
      <c r="D34" s="55" t="n">
        <v>9.4</v>
      </c>
      <c r="E34" s="2" t="n">
        <f aca="false">C34+D34</f>
        <v>31.3</v>
      </c>
      <c r="F34" s="2" t="n">
        <f aca="false">B34/E34</f>
        <v>1.19169329073482</v>
      </c>
    </row>
    <row r="35" customFormat="false" ht="14.25" hidden="false" customHeight="false" outlineLevel="0" collapsed="false">
      <c r="A35" s="0" t="s">
        <v>199</v>
      </c>
      <c r="B35" s="0" t="n">
        <v>47.1</v>
      </c>
      <c r="C35" s="55" t="n">
        <v>20.9</v>
      </c>
      <c r="D35" s="55" t="n">
        <v>7.2</v>
      </c>
      <c r="E35" s="2" t="n">
        <f aca="false">C35+D35</f>
        <v>28.1</v>
      </c>
      <c r="F35" s="2" t="n">
        <f aca="false">B35/E35</f>
        <v>1.67615658362989</v>
      </c>
    </row>
    <row r="36" customFormat="false" ht="14.25" hidden="false" customHeight="false" outlineLevel="0" collapsed="false">
      <c r="A36" s="0" t="s">
        <v>201</v>
      </c>
      <c r="B36" s="0" t="n">
        <v>45.7</v>
      </c>
      <c r="C36" s="55" t="n">
        <v>21.9</v>
      </c>
      <c r="D36" s="55" t="n">
        <v>6.3</v>
      </c>
      <c r="E36" s="2" t="n">
        <f aca="false">C36+D36</f>
        <v>28.2</v>
      </c>
      <c r="F36" s="2" t="n">
        <f aca="false">B36/E36</f>
        <v>1.62056737588652</v>
      </c>
    </row>
    <row r="37" customFormat="false" ht="14.25" hidden="false" customHeight="false" outlineLevel="0" collapsed="false">
      <c r="A37" s="0" t="s">
        <v>205</v>
      </c>
      <c r="B37" s="0" t="n">
        <v>40.1</v>
      </c>
      <c r="C37" s="55" t="n">
        <v>22.5</v>
      </c>
      <c r="D37" s="55" t="n">
        <v>7.9</v>
      </c>
      <c r="E37" s="2" t="n">
        <f aca="false">C37+D37</f>
        <v>30.4</v>
      </c>
      <c r="F37" s="2" t="n">
        <f aca="false">B37/E37</f>
        <v>1.31907894736842</v>
      </c>
    </row>
    <row r="38" customFormat="false" ht="14.25" hidden="false" customHeight="false" outlineLevel="0" collapsed="false">
      <c r="A38" s="0" t="s">
        <v>209</v>
      </c>
      <c r="B38" s="0" t="n">
        <v>44.8</v>
      </c>
      <c r="C38" s="55" t="n">
        <v>23.5</v>
      </c>
      <c r="D38" s="55" t="n">
        <v>5</v>
      </c>
      <c r="E38" s="2" t="n">
        <f aca="false">C38+D38</f>
        <v>28.5</v>
      </c>
      <c r="F38" s="2" t="n">
        <f aca="false">B38/E38</f>
        <v>1.5719298245614</v>
      </c>
    </row>
    <row r="39" customFormat="false" ht="14.25" hidden="false" customHeight="false" outlineLevel="0" collapsed="false">
      <c r="A39" s="0" t="s">
        <v>211</v>
      </c>
      <c r="B39" s="0" t="n">
        <v>41</v>
      </c>
      <c r="C39" s="55" t="n">
        <v>23.3</v>
      </c>
      <c r="D39" s="55" t="n">
        <v>6.2</v>
      </c>
      <c r="E39" s="2" t="n">
        <f aca="false">C39+D39</f>
        <v>29.5</v>
      </c>
      <c r="F39" s="2" t="n">
        <f aca="false">B39/E39</f>
        <v>1.38983050847458</v>
      </c>
    </row>
    <row r="40" customFormat="false" ht="14.25" hidden="false" customHeight="false" outlineLevel="0" collapsed="false">
      <c r="A40" s="0" t="s">
        <v>219</v>
      </c>
      <c r="B40" s="0" t="n">
        <v>37</v>
      </c>
      <c r="C40" s="55" t="n">
        <v>22.2</v>
      </c>
      <c r="D40" s="55" t="n">
        <v>9.9</v>
      </c>
      <c r="E40" s="2" t="n">
        <f aca="false">C40+D40</f>
        <v>32.1</v>
      </c>
      <c r="F40" s="2" t="n">
        <f aca="false">B40/E40</f>
        <v>1.15264797507788</v>
      </c>
    </row>
    <row r="41" customFormat="false" ht="14.25" hidden="false" customHeight="false" outlineLevel="0" collapsed="false">
      <c r="A41" s="0" t="s">
        <v>227</v>
      </c>
      <c r="B41" s="0" t="n">
        <v>38.9</v>
      </c>
      <c r="C41" s="55" t="n">
        <v>23.1</v>
      </c>
      <c r="D41" s="55" t="n">
        <v>7.5</v>
      </c>
      <c r="E41" s="2" t="n">
        <f aca="false">C41+D41</f>
        <v>30.6</v>
      </c>
      <c r="F41" s="2" t="n">
        <f aca="false">B41/E41</f>
        <v>1.27124183006536</v>
      </c>
    </row>
    <row r="42" customFormat="false" ht="14.25" hidden="false" customHeight="false" outlineLevel="0" collapsed="false">
      <c r="A42" s="0" t="s">
        <v>229</v>
      </c>
      <c r="B42" s="0" t="n">
        <v>36.5</v>
      </c>
      <c r="C42" s="55" t="n">
        <v>22.7</v>
      </c>
      <c r="D42" s="55" t="n">
        <v>9.1</v>
      </c>
      <c r="E42" s="2" t="n">
        <f aca="false">C42+D42</f>
        <v>31.8</v>
      </c>
      <c r="F42" s="2" t="n">
        <f aca="false">B42/E42</f>
        <v>1.14779874213836</v>
      </c>
    </row>
    <row r="43" customFormat="false" ht="14.25" hidden="false" customHeight="false" outlineLevel="0" collapsed="false">
      <c r="A43" s="0" t="s">
        <v>233</v>
      </c>
      <c r="B43" s="0" t="n">
        <v>37</v>
      </c>
      <c r="C43" s="55" t="n">
        <v>22</v>
      </c>
      <c r="D43" s="55" t="n">
        <v>10</v>
      </c>
      <c r="E43" s="2" t="n">
        <f aca="false">C43+D43</f>
        <v>32</v>
      </c>
      <c r="F43" s="2" t="n">
        <f aca="false">B43/E43</f>
        <v>1.15625</v>
      </c>
    </row>
    <row r="44" customFormat="false" ht="14.25" hidden="false" customHeight="false" outlineLevel="0" collapsed="false">
      <c r="A44" s="0" t="s">
        <v>237</v>
      </c>
      <c r="B44" s="0" t="n">
        <v>42.2</v>
      </c>
      <c r="C44" s="55" t="n">
        <v>22.6</v>
      </c>
      <c r="D44" s="55" t="n">
        <v>6.6</v>
      </c>
      <c r="E44" s="2" t="n">
        <f aca="false">C44+D44</f>
        <v>29.2</v>
      </c>
      <c r="F44" s="2" t="n">
        <f aca="false">B44/E44</f>
        <v>1.44520547945205</v>
      </c>
    </row>
    <row r="45" customFormat="false" ht="14.25" hidden="false" customHeight="false" outlineLevel="0" collapsed="false">
      <c r="A45" s="0" t="s">
        <v>243</v>
      </c>
      <c r="B45" s="0" t="n">
        <v>41.3</v>
      </c>
      <c r="C45" s="55" t="n">
        <v>22.3</v>
      </c>
      <c r="D45" s="55" t="n">
        <v>7.8</v>
      </c>
      <c r="E45" s="2" t="n">
        <f aca="false">C45+D45</f>
        <v>30.1</v>
      </c>
      <c r="F45" s="2" t="n">
        <f aca="false">B45/E45</f>
        <v>1.37209302325581</v>
      </c>
    </row>
    <row r="46" customFormat="false" ht="14.25" hidden="false" customHeight="false" outlineLevel="0" collapsed="false">
      <c r="A46" s="0" t="s">
        <v>249</v>
      </c>
      <c r="B46" s="0" t="n">
        <v>44.1</v>
      </c>
      <c r="C46" s="55" t="n">
        <v>22.3</v>
      </c>
      <c r="D46" s="55" t="n">
        <v>6</v>
      </c>
      <c r="E46" s="2" t="n">
        <f aca="false">C46+D46</f>
        <v>28.3</v>
      </c>
      <c r="F46" s="2" t="n">
        <f aca="false">B46/E46</f>
        <v>1.5583038869258</v>
      </c>
    </row>
    <row r="47" customFormat="false" ht="14.25" hidden="false" customHeight="false" outlineLevel="0" collapsed="false">
      <c r="A47" s="0" t="s">
        <v>251</v>
      </c>
      <c r="B47" s="0" t="n">
        <v>39.2</v>
      </c>
      <c r="C47" s="55" t="n">
        <v>22.9</v>
      </c>
      <c r="D47" s="55" t="n">
        <v>7.9</v>
      </c>
      <c r="E47" s="2" t="n">
        <f aca="false">C47+D47</f>
        <v>30.8</v>
      </c>
      <c r="F47" s="2" t="n">
        <f aca="false">B47/E47</f>
        <v>1.27272727272727</v>
      </c>
    </row>
    <row r="48" customFormat="false" ht="14.25" hidden="false" customHeight="false" outlineLevel="0" collapsed="false">
      <c r="A48" s="0" t="s">
        <v>269</v>
      </c>
      <c r="B48" s="0" t="n">
        <v>40.2</v>
      </c>
      <c r="C48" s="55" t="n">
        <v>23</v>
      </c>
      <c r="D48" s="55" t="n">
        <v>7.5</v>
      </c>
      <c r="E48" s="2" t="n">
        <f aca="false">C48+D48</f>
        <v>30.5</v>
      </c>
      <c r="F48" s="2" t="n">
        <f aca="false">B48/E48</f>
        <v>1.31803278688525</v>
      </c>
    </row>
    <row r="49" customFormat="false" ht="14.25" hidden="false" customHeight="false" outlineLevel="0" collapsed="false">
      <c r="A49" s="0" t="s">
        <v>273</v>
      </c>
      <c r="B49" s="0" t="n">
        <v>54.7</v>
      </c>
      <c r="C49" s="55" t="n">
        <v>19.2</v>
      </c>
      <c r="D49" s="55" t="n">
        <v>4.7</v>
      </c>
      <c r="E49" s="2" t="n">
        <f aca="false">C49+D49</f>
        <v>23.9</v>
      </c>
      <c r="F49" s="2" t="n">
        <f aca="false">B49/E49</f>
        <v>2.28870292887029</v>
      </c>
    </row>
    <row r="50" customFormat="false" ht="14.25" hidden="false" customHeight="false" outlineLevel="0" collapsed="false">
      <c r="A50" s="0" t="s">
        <v>277</v>
      </c>
      <c r="B50" s="0" t="n">
        <v>36.7</v>
      </c>
      <c r="C50" s="55" t="n">
        <v>22.5</v>
      </c>
      <c r="D50" s="55" t="n">
        <v>9.7</v>
      </c>
      <c r="E50" s="2" t="n">
        <f aca="false">C50+D50</f>
        <v>32.2</v>
      </c>
      <c r="F50" s="2" t="n">
        <f aca="false">B50/E50</f>
        <v>1.13975155279503</v>
      </c>
    </row>
    <row r="51" customFormat="false" ht="14.25" hidden="false" customHeight="false" outlineLevel="0" collapsed="false">
      <c r="A51" s="0" t="s">
        <v>281</v>
      </c>
      <c r="B51" s="0" t="n">
        <v>40.3</v>
      </c>
      <c r="C51" s="55" t="n">
        <v>22.3</v>
      </c>
      <c r="D51" s="55" t="n">
        <v>8.1</v>
      </c>
      <c r="E51" s="2" t="n">
        <f aca="false">C51+D51</f>
        <v>30.4</v>
      </c>
      <c r="F51" s="2" t="n">
        <f aca="false">B51/E51</f>
        <v>1.32565789473684</v>
      </c>
    </row>
    <row r="52" customFormat="false" ht="14.25" hidden="false" customHeight="false" outlineLevel="0" collapsed="false">
      <c r="A52" s="0" t="s">
        <v>283</v>
      </c>
      <c r="B52" s="0" t="n">
        <v>43.8</v>
      </c>
      <c r="C52" s="55" t="n">
        <v>24.1</v>
      </c>
      <c r="D52" s="55" t="n">
        <v>5.1</v>
      </c>
      <c r="E52" s="2" t="n">
        <f aca="false">C52+D52</f>
        <v>29.2</v>
      </c>
      <c r="F52" s="2" t="n">
        <f aca="false">B52/E52</f>
        <v>1.5</v>
      </c>
    </row>
    <row r="53" customFormat="false" ht="14.25" hidden="false" customHeight="false" outlineLevel="0" collapsed="false">
      <c r="A53" s="0" t="s">
        <v>287</v>
      </c>
      <c r="B53" s="0" t="n">
        <v>59.5</v>
      </c>
      <c r="C53" s="55" t="n">
        <v>17.4</v>
      </c>
      <c r="D53" s="55" t="n">
        <v>4.2</v>
      </c>
      <c r="E53" s="2" t="n">
        <f aca="false">C53+D53</f>
        <v>21.6</v>
      </c>
      <c r="F53" s="2" t="n">
        <f aca="false">B53/E53</f>
        <v>2.75462962962963</v>
      </c>
    </row>
    <row r="54" customFormat="false" ht="14.25" hidden="false" customHeight="false" outlineLevel="0" collapsed="false">
      <c r="A54" s="0" t="s">
        <v>297</v>
      </c>
      <c r="B54" s="0" t="n">
        <v>37.7</v>
      </c>
      <c r="C54" s="55" t="n">
        <v>22.4</v>
      </c>
      <c r="D54" s="55" t="n">
        <v>8.8</v>
      </c>
      <c r="E54" s="2" t="n">
        <f aca="false">C54+D54</f>
        <v>31.2</v>
      </c>
      <c r="F54" s="2" t="n">
        <f aca="false">B54/E54</f>
        <v>1.20833333333333</v>
      </c>
    </row>
    <row r="55" customFormat="false" ht="14.25" hidden="false" customHeight="false" outlineLevel="0" collapsed="false">
      <c r="A55" s="0" t="s">
        <v>303</v>
      </c>
      <c r="B55" s="0" t="n">
        <v>52</v>
      </c>
      <c r="C55" s="55" t="n">
        <v>20</v>
      </c>
      <c r="D55" s="55" t="n">
        <v>5.1</v>
      </c>
      <c r="E55" s="2" t="n">
        <f aca="false">C55+D55</f>
        <v>25.1</v>
      </c>
      <c r="F55" s="2" t="n">
        <f aca="false">B55/E55</f>
        <v>2.07171314741036</v>
      </c>
    </row>
    <row r="56" customFormat="false" ht="14.25" hidden="false" customHeight="false" outlineLevel="0" collapsed="false">
      <c r="A56" s="0" t="s">
        <v>305</v>
      </c>
      <c r="B56" s="0" t="n">
        <v>42.4</v>
      </c>
      <c r="C56" s="55" t="n">
        <v>22</v>
      </c>
      <c r="D56" s="55" t="n">
        <v>7.8</v>
      </c>
      <c r="E56" s="2" t="n">
        <f aca="false">C56+D56</f>
        <v>29.8</v>
      </c>
      <c r="F56" s="2" t="n">
        <f aca="false">B56/E56</f>
        <v>1.42281879194631</v>
      </c>
    </row>
    <row r="57" customFormat="false" ht="14.25" hidden="false" customHeight="false" outlineLevel="0" collapsed="false">
      <c r="A57" s="0" t="s">
        <v>313</v>
      </c>
      <c r="B57" s="0" t="n">
        <v>35.9</v>
      </c>
      <c r="C57" s="55" t="n">
        <v>22.8</v>
      </c>
      <c r="D57" s="55" t="n">
        <v>9.1</v>
      </c>
      <c r="E57" s="2" t="n">
        <f aca="false">C57+D57</f>
        <v>31.9</v>
      </c>
      <c r="F57" s="2" t="n">
        <f aca="false">B57/E57</f>
        <v>1.12539184952978</v>
      </c>
    </row>
    <row r="58" customFormat="false" ht="14.25" hidden="false" customHeight="false" outlineLevel="0" collapsed="false">
      <c r="A58" s="0" t="s">
        <v>321</v>
      </c>
      <c r="B58" s="0" t="n">
        <v>54.8</v>
      </c>
      <c r="C58" s="55" t="n">
        <v>20.7</v>
      </c>
      <c r="D58" s="55" t="n">
        <v>3.4</v>
      </c>
      <c r="E58" s="2" t="n">
        <f aca="false">C58+D58</f>
        <v>24.1</v>
      </c>
      <c r="F58" s="2" t="n">
        <f aca="false">B58/E58</f>
        <v>2.27385892116183</v>
      </c>
    </row>
    <row r="59" customFormat="false" ht="14.25" hidden="false" customHeight="false" outlineLevel="0" collapsed="false">
      <c r="A59" s="0" t="s">
        <v>325</v>
      </c>
      <c r="B59" s="0" t="n">
        <v>55.6</v>
      </c>
      <c r="C59" s="55" t="n">
        <v>19.4</v>
      </c>
      <c r="D59" s="55" t="n">
        <v>4</v>
      </c>
      <c r="E59" s="2" t="n">
        <f aca="false">C59+D59</f>
        <v>23.4</v>
      </c>
      <c r="F59" s="2" t="n">
        <f aca="false">B59/E59</f>
        <v>2.37606837606838</v>
      </c>
    </row>
    <row r="60" customFormat="false" ht="14.25" hidden="false" customHeight="false" outlineLevel="0" collapsed="false">
      <c r="A60" s="0" t="s">
        <v>327</v>
      </c>
      <c r="B60" s="0" t="n">
        <v>48.3</v>
      </c>
      <c r="C60" s="55" t="n">
        <v>22.2</v>
      </c>
      <c r="D60" s="55" t="n">
        <v>4.7</v>
      </c>
      <c r="E60" s="2" t="n">
        <f aca="false">C60+D60</f>
        <v>26.9</v>
      </c>
      <c r="F60" s="2" t="n">
        <f aca="false">B60/E60</f>
        <v>1.79553903345725</v>
      </c>
    </row>
    <row r="61" customFormat="false" ht="14.25" hidden="false" customHeight="false" outlineLevel="0" collapsed="false">
      <c r="A61" s="0" t="s">
        <v>331</v>
      </c>
      <c r="B61" s="0" t="n">
        <v>40.3</v>
      </c>
      <c r="C61" s="55" t="n">
        <v>22.8</v>
      </c>
      <c r="D61" s="55" t="n">
        <v>7.2</v>
      </c>
      <c r="E61" s="2" t="n">
        <f aca="false">C61+D61</f>
        <v>30</v>
      </c>
      <c r="F61" s="2" t="n">
        <f aca="false">B61/E61</f>
        <v>1.34333333333333</v>
      </c>
    </row>
    <row r="62" customFormat="false" ht="14.25" hidden="false" customHeight="false" outlineLevel="0" collapsed="false">
      <c r="A62" s="0" t="s">
        <v>333</v>
      </c>
      <c r="B62" s="0" t="n">
        <v>42.6</v>
      </c>
      <c r="C62" s="55" t="n">
        <v>22.3</v>
      </c>
      <c r="D62" s="55" t="n">
        <v>6.5</v>
      </c>
      <c r="E62" s="2" t="n">
        <f aca="false">C62+D62</f>
        <v>28.8</v>
      </c>
      <c r="F62" s="2" t="n">
        <f aca="false">B62/E62</f>
        <v>1.47916666666667</v>
      </c>
    </row>
    <row r="63" customFormat="false" ht="14.25" hidden="false" customHeight="false" outlineLevel="0" collapsed="false">
      <c r="A63" s="0" t="s">
        <v>339</v>
      </c>
      <c r="B63" s="0" t="n">
        <v>40.7</v>
      </c>
      <c r="C63" s="55" t="n">
        <v>24.7</v>
      </c>
      <c r="D63" s="55" t="n">
        <v>4.9</v>
      </c>
      <c r="E63" s="2" t="n">
        <f aca="false">C63+D63</f>
        <v>29.6</v>
      </c>
      <c r="F63" s="2" t="n">
        <f aca="false">B63/E63</f>
        <v>1.375</v>
      </c>
    </row>
    <row r="64" customFormat="false" ht="14.25" hidden="false" customHeight="false" outlineLevel="0" collapsed="false">
      <c r="A64" s="0" t="s">
        <v>341</v>
      </c>
      <c r="B64" s="0" t="n">
        <v>47.1</v>
      </c>
      <c r="C64" s="55" t="n">
        <v>21</v>
      </c>
      <c r="D64" s="55" t="n">
        <v>6.6</v>
      </c>
      <c r="E64" s="2" t="n">
        <f aca="false">C64+D64</f>
        <v>27.6</v>
      </c>
      <c r="F64" s="2" t="n">
        <f aca="false">B64/E64</f>
        <v>1.70652173913043</v>
      </c>
    </row>
    <row r="65" customFormat="false" ht="14.25" hidden="false" customHeight="false" outlineLevel="0" collapsed="false">
      <c r="A65" s="0" t="s">
        <v>355</v>
      </c>
      <c r="B65" s="0" t="n">
        <v>44.8</v>
      </c>
      <c r="C65" s="55" t="n">
        <v>23.6</v>
      </c>
      <c r="D65" s="55" t="n">
        <v>4.3</v>
      </c>
      <c r="E65" s="2" t="n">
        <f aca="false">C65+D65</f>
        <v>27.9</v>
      </c>
      <c r="F65" s="2" t="n">
        <f aca="false">B65/E65</f>
        <v>1.60573476702509</v>
      </c>
    </row>
    <row r="66" customFormat="false" ht="14.25" hidden="false" customHeight="false" outlineLevel="0" collapsed="false">
      <c r="A66" s="0" t="s">
        <v>365</v>
      </c>
      <c r="B66" s="0" t="n">
        <v>34.5</v>
      </c>
      <c r="C66" s="55" t="n">
        <v>23.5</v>
      </c>
      <c r="D66" s="55" t="n">
        <v>8.4</v>
      </c>
      <c r="E66" s="2" t="n">
        <f aca="false">C66+D66</f>
        <v>31.9</v>
      </c>
      <c r="F66" s="2" t="n">
        <f aca="false">B66/E66</f>
        <v>1.08150470219436</v>
      </c>
    </row>
    <row r="67" customFormat="false" ht="14.25" hidden="false" customHeight="false" outlineLevel="0" collapsed="false">
      <c r="A67" s="0" t="s">
        <v>367</v>
      </c>
      <c r="B67" s="0" t="n">
        <v>35.4</v>
      </c>
      <c r="C67" s="55" t="n">
        <v>22.5</v>
      </c>
      <c r="D67" s="55" t="n">
        <v>9.4</v>
      </c>
      <c r="E67" s="2" t="n">
        <f aca="false">C67+D67</f>
        <v>31.9</v>
      </c>
      <c r="F67" s="2" t="n">
        <f aca="false">B67/E67</f>
        <v>1.10971786833856</v>
      </c>
    </row>
    <row r="68" customFormat="false" ht="14.25" hidden="false" customHeight="false" outlineLevel="0" collapsed="false">
      <c r="A68" s="0" t="s">
        <v>373</v>
      </c>
      <c r="B68" s="0" t="n">
        <v>68.2</v>
      </c>
      <c r="C68" s="55" t="n">
        <v>16.5</v>
      </c>
      <c r="D68" s="55" t="n">
        <v>2.4</v>
      </c>
      <c r="E68" s="2" t="n">
        <f aca="false">C68+D68</f>
        <v>18.9</v>
      </c>
      <c r="F68" s="2" t="n">
        <f aca="false">B68/E68</f>
        <v>3.60846560846561</v>
      </c>
    </row>
    <row r="69" customFormat="false" ht="14.25" hidden="false" customHeight="false" outlineLevel="0" collapsed="false">
      <c r="C69" s="55"/>
      <c r="D69" s="55"/>
    </row>
    <row r="70" customFormat="false" ht="14.25" hidden="false" customHeight="false" outlineLevel="0" collapsed="false">
      <c r="C70" s="55"/>
      <c r="D70" s="55"/>
    </row>
    <row r="71" customFormat="false" ht="14.25" hidden="false" customHeight="false" outlineLevel="0" collapsed="false">
      <c r="C71" s="55"/>
      <c r="D71" s="55"/>
    </row>
    <row r="72" customFormat="false" ht="14.25" hidden="false" customHeight="false" outlineLevel="0" collapsed="false">
      <c r="C72" s="55"/>
      <c r="D72" s="55"/>
    </row>
    <row r="73" customFormat="false" ht="14.25" hidden="false" customHeight="false" outlineLevel="0" collapsed="false">
      <c r="C73" s="55"/>
      <c r="D73" s="55"/>
    </row>
    <row r="74" customFormat="false" ht="14.25" hidden="false" customHeight="false" outlineLevel="0" collapsed="false">
      <c r="C74" s="55"/>
      <c r="D74" s="55"/>
    </row>
    <row r="75" customFormat="false" ht="14.25" hidden="false" customHeight="false" outlineLevel="0" collapsed="false">
      <c r="C75" s="55"/>
      <c r="D75" s="55"/>
    </row>
    <row r="76" customFormat="false" ht="14.25" hidden="false" customHeight="false" outlineLevel="0" collapsed="false">
      <c r="C76" s="55"/>
      <c r="D76" s="55"/>
    </row>
    <row r="77" customFormat="false" ht="14.25" hidden="false" customHeight="false" outlineLevel="0" collapsed="false">
      <c r="C77" s="55"/>
      <c r="D77" s="55"/>
    </row>
    <row r="78" customFormat="false" ht="14.25" hidden="false" customHeight="false" outlineLevel="0" collapsed="false">
      <c r="C78" s="55"/>
      <c r="D78" s="55"/>
    </row>
    <row r="79" customFormat="false" ht="14.25" hidden="false" customHeight="false" outlineLevel="0" collapsed="false">
      <c r="C79" s="55"/>
      <c r="D79" s="55"/>
    </row>
    <row r="80" customFormat="false" ht="14.25" hidden="false" customHeight="false" outlineLevel="0" collapsed="false">
      <c r="C80" s="55"/>
      <c r="D80" s="55"/>
    </row>
    <row r="81" customFormat="false" ht="14.25" hidden="false" customHeight="false" outlineLevel="0" collapsed="false">
      <c r="C81" s="55"/>
      <c r="D81" s="5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8.55078125" defaultRowHeight="14.25" zeroHeight="false" outlineLevelRow="0" outlineLevelCol="0"/>
  <cols>
    <col collapsed="false" customWidth="true" hidden="false" outlineLevel="0" max="1" min="1" style="0" width="23.33"/>
    <col collapsed="false" customWidth="true" hidden="false" outlineLevel="0" max="2" min="2" style="0" width="18.34"/>
    <col collapsed="false" customWidth="true" hidden="false" outlineLevel="0" max="3" min="3" style="0" width="14.89"/>
  </cols>
  <sheetData>
    <row r="1" customFormat="false" ht="14.25" hidden="false" customHeight="false" outlineLevel="0" collapsed="false">
      <c r="A1" s="2" t="s">
        <v>586</v>
      </c>
      <c r="B1" s="2" t="s">
        <v>587</v>
      </c>
      <c r="C1" s="2" t="s">
        <v>588</v>
      </c>
    </row>
    <row r="2" customFormat="false" ht="14.25" hidden="true" customHeight="false" outlineLevel="0" collapsed="false">
      <c r="A2" s="0" t="s">
        <v>18</v>
      </c>
      <c r="B2" s="56" t="n">
        <v>2229</v>
      </c>
      <c r="C2" s="2" t="s">
        <v>20</v>
      </c>
    </row>
    <row r="3" customFormat="false" ht="14.25" hidden="false" customHeight="false" outlineLevel="0" collapsed="false">
      <c r="A3" s="0" t="s">
        <v>81</v>
      </c>
      <c r="B3" s="0" t="n">
        <v>754</v>
      </c>
      <c r="C3" s="0" t="n">
        <v>1.7</v>
      </c>
      <c r="G3" s="0" t="s">
        <v>589</v>
      </c>
    </row>
    <row r="4" customFormat="false" ht="14.25" hidden="false" customHeight="false" outlineLevel="0" collapsed="false">
      <c r="A4" s="0" t="s">
        <v>93</v>
      </c>
      <c r="B4" s="0" t="n">
        <v>993</v>
      </c>
      <c r="C4" s="0" t="n">
        <v>4.5</v>
      </c>
    </row>
    <row r="5" customFormat="false" ht="14.25" hidden="true" customHeight="false" outlineLevel="0" collapsed="false">
      <c r="A5" s="0" t="s">
        <v>27</v>
      </c>
      <c r="B5" s="56" t="n">
        <v>56000</v>
      </c>
      <c r="C5" s="2" t="s">
        <v>20</v>
      </c>
    </row>
    <row r="6" customFormat="false" ht="14.25" hidden="false" customHeight="false" outlineLevel="0" collapsed="false">
      <c r="A6" s="0" t="s">
        <v>257</v>
      </c>
      <c r="B6" s="56" t="n">
        <v>1035</v>
      </c>
      <c r="C6" s="0" t="n">
        <v>2.4</v>
      </c>
    </row>
    <row r="7" customFormat="false" ht="14.25" hidden="true" customHeight="false" outlineLevel="0" collapsed="false">
      <c r="A7" s="0" t="s">
        <v>31</v>
      </c>
      <c r="B7" s="56" t="n">
        <v>20895</v>
      </c>
      <c r="C7" s="2" t="s">
        <v>20</v>
      </c>
    </row>
    <row r="8" customFormat="false" ht="14.25" hidden="false" customHeight="false" outlineLevel="0" collapsed="false">
      <c r="A8" s="0" t="s">
        <v>590</v>
      </c>
      <c r="B8" s="56" t="n">
        <v>1063</v>
      </c>
      <c r="C8" s="0" t="n">
        <v>2.1</v>
      </c>
    </row>
    <row r="9" customFormat="false" ht="14.25" hidden="false" customHeight="false" outlineLevel="0" collapsed="false">
      <c r="A9" s="0" t="s">
        <v>305</v>
      </c>
      <c r="B9" s="56" t="n">
        <v>1201</v>
      </c>
      <c r="C9" s="0" t="n">
        <v>1.4</v>
      </c>
    </row>
    <row r="10" customFormat="false" ht="14.25" hidden="false" customHeight="false" outlineLevel="0" collapsed="false">
      <c r="A10" s="0" t="s">
        <v>287</v>
      </c>
      <c r="B10" s="56" t="n">
        <v>1250</v>
      </c>
      <c r="C10" s="0" t="n">
        <v>3.9</v>
      </c>
    </row>
    <row r="11" customFormat="false" ht="14.25" hidden="false" customHeight="false" outlineLevel="0" collapsed="false">
      <c r="A11" s="0" t="s">
        <v>243</v>
      </c>
      <c r="B11" s="56" t="n">
        <v>1258</v>
      </c>
      <c r="C11" s="0" t="n">
        <v>1.4</v>
      </c>
    </row>
    <row r="12" customFormat="false" ht="14.25" hidden="true" customHeight="false" outlineLevel="0" collapsed="false">
      <c r="A12" s="0" t="s">
        <v>43</v>
      </c>
      <c r="B12" s="56" t="n">
        <v>13784</v>
      </c>
      <c r="C12" s="2" t="s">
        <v>20</v>
      </c>
    </row>
    <row r="13" customFormat="false" ht="14.25" hidden="true" customHeight="false" outlineLevel="0" collapsed="false">
      <c r="A13" s="0" t="s">
        <v>591</v>
      </c>
      <c r="B13" s="56" t="n">
        <v>33747</v>
      </c>
      <c r="C13" s="2" t="s">
        <v>20</v>
      </c>
    </row>
    <row r="14" customFormat="false" ht="14.25" hidden="true" customHeight="false" outlineLevel="0" collapsed="false">
      <c r="A14" s="0" t="s">
        <v>47</v>
      </c>
      <c r="B14" s="56" t="n">
        <v>42522</v>
      </c>
      <c r="C14" s="2" t="s">
        <v>20</v>
      </c>
    </row>
    <row r="15" customFormat="false" ht="14.25" hidden="false" customHeight="false" outlineLevel="0" collapsed="false">
      <c r="A15" s="0" t="s">
        <v>95</v>
      </c>
      <c r="B15" s="56" t="n">
        <v>1555</v>
      </c>
      <c r="C15" s="0" t="n">
        <v>2.2</v>
      </c>
    </row>
    <row r="16" customFormat="false" ht="14.25" hidden="true" customHeight="false" outlineLevel="0" collapsed="false">
      <c r="A16" s="0" t="s">
        <v>51</v>
      </c>
      <c r="B16" s="56" t="n">
        <v>14936</v>
      </c>
      <c r="C16" s="2" t="s">
        <v>20</v>
      </c>
    </row>
    <row r="17" customFormat="false" ht="14.25" hidden="false" customHeight="false" outlineLevel="0" collapsed="false">
      <c r="A17" s="0" t="s">
        <v>592</v>
      </c>
      <c r="B17" s="56" t="n">
        <v>1594</v>
      </c>
      <c r="C17" s="0" t="n">
        <v>1.6</v>
      </c>
    </row>
    <row r="18" customFormat="false" ht="14.25" hidden="false" customHeight="false" outlineLevel="0" collapsed="false">
      <c r="A18" s="0" t="s">
        <v>255</v>
      </c>
      <c r="B18" s="56" t="n">
        <v>1596</v>
      </c>
      <c r="C18" s="0" t="n">
        <v>2.1</v>
      </c>
    </row>
    <row r="19" customFormat="false" ht="14.25" hidden="true" customHeight="false" outlineLevel="0" collapsed="false">
      <c r="A19" s="0" t="s">
        <v>57</v>
      </c>
      <c r="B19" s="56" t="n">
        <v>6382</v>
      </c>
      <c r="C19" s="2" t="s">
        <v>20</v>
      </c>
    </row>
    <row r="20" customFormat="false" ht="14.25" hidden="false" customHeight="false" outlineLevel="0" collapsed="false">
      <c r="A20" s="0" t="s">
        <v>407</v>
      </c>
      <c r="B20" s="56" t="n">
        <v>1602</v>
      </c>
      <c r="C20" s="0" t="n">
        <v>2.2</v>
      </c>
    </row>
    <row r="21" customFormat="false" ht="14.25" hidden="false" customHeight="false" outlineLevel="0" collapsed="false">
      <c r="A21" s="0" t="s">
        <v>359</v>
      </c>
      <c r="B21" s="56" t="n">
        <v>1668</v>
      </c>
      <c r="C21" s="0" t="n">
        <v>1.4</v>
      </c>
    </row>
    <row r="22" customFormat="false" ht="14.25" hidden="false" customHeight="false" outlineLevel="0" collapsed="false">
      <c r="A22" s="0" t="s">
        <v>187</v>
      </c>
      <c r="B22" s="56" t="n">
        <v>1709</v>
      </c>
      <c r="C22" s="0" t="n">
        <v>2</v>
      </c>
    </row>
    <row r="23" customFormat="false" ht="14.25" hidden="false" customHeight="false" outlineLevel="0" collapsed="false">
      <c r="A23" s="0" t="s">
        <v>183</v>
      </c>
      <c r="B23" s="56" t="n">
        <v>1996</v>
      </c>
      <c r="C23" s="0" t="n">
        <v>3.3</v>
      </c>
    </row>
    <row r="24" customFormat="false" ht="14.25" hidden="false" customHeight="false" outlineLevel="0" collapsed="false">
      <c r="A24" s="0" t="s">
        <v>375</v>
      </c>
      <c r="B24" s="56" t="n">
        <v>2003</v>
      </c>
      <c r="C24" s="0" t="n">
        <v>2.7</v>
      </c>
    </row>
    <row r="25" customFormat="false" ht="14.25" hidden="false" customHeight="false" outlineLevel="0" collapsed="false">
      <c r="A25" s="0" t="s">
        <v>423</v>
      </c>
      <c r="B25" s="56" t="n">
        <v>2123</v>
      </c>
      <c r="C25" s="0" t="n">
        <v>2.1</v>
      </c>
    </row>
    <row r="26" customFormat="false" ht="14.25" hidden="true" customHeight="false" outlineLevel="0" collapsed="false">
      <c r="A26" s="0" t="s">
        <v>75</v>
      </c>
      <c r="B26" s="56" t="n">
        <v>63965</v>
      </c>
      <c r="C26" s="2" t="s">
        <v>20</v>
      </c>
    </row>
    <row r="27" customFormat="false" ht="14.25" hidden="false" customHeight="false" outlineLevel="0" collapsed="false">
      <c r="A27" s="0" t="s">
        <v>79</v>
      </c>
      <c r="B27" s="56" t="n">
        <v>2133</v>
      </c>
      <c r="C27" s="0" t="n">
        <v>1.5</v>
      </c>
    </row>
    <row r="28" customFormat="false" ht="14.25" hidden="false" customHeight="false" outlineLevel="0" collapsed="false">
      <c r="A28" s="0" t="s">
        <v>343</v>
      </c>
      <c r="B28" s="56" t="n">
        <v>2155</v>
      </c>
      <c r="C28" s="0" t="n">
        <v>2.3</v>
      </c>
    </row>
    <row r="29" customFormat="false" ht="14.25" hidden="false" customHeight="false" outlineLevel="0" collapsed="false">
      <c r="A29" s="0" t="s">
        <v>593</v>
      </c>
      <c r="B29" s="56" t="n">
        <v>2168</v>
      </c>
      <c r="C29" s="0" t="n">
        <v>1.5</v>
      </c>
    </row>
    <row r="30" customFormat="false" ht="14.25" hidden="false" customHeight="false" outlineLevel="0" collapsed="false">
      <c r="A30" s="0" t="s">
        <v>147</v>
      </c>
      <c r="B30" s="56" t="n">
        <v>2207</v>
      </c>
      <c r="C30" s="0" t="n">
        <v>1.8</v>
      </c>
    </row>
    <row r="31" customFormat="false" ht="14.25" hidden="true" customHeight="false" outlineLevel="0" collapsed="false">
      <c r="A31" s="0" t="s">
        <v>85</v>
      </c>
      <c r="B31" s="56" t="n">
        <v>4246</v>
      </c>
      <c r="C31" s="2" t="s">
        <v>20</v>
      </c>
    </row>
    <row r="32" customFormat="false" ht="14.25" hidden="false" customHeight="false" outlineLevel="0" collapsed="false">
      <c r="A32" s="0" t="s">
        <v>369</v>
      </c>
      <c r="B32" s="56" t="n">
        <v>2253</v>
      </c>
      <c r="C32" s="0" t="n">
        <v>1.6</v>
      </c>
    </row>
    <row r="33" customFormat="false" ht="14.25" hidden="false" customHeight="false" outlineLevel="0" collapsed="false">
      <c r="A33" s="0" t="s">
        <v>263</v>
      </c>
      <c r="B33" s="56" t="n">
        <v>2269</v>
      </c>
      <c r="C33" s="0" t="n">
        <v>1.3</v>
      </c>
    </row>
    <row r="34" customFormat="false" ht="14.25" hidden="false" customHeight="false" outlineLevel="0" collapsed="false">
      <c r="A34" s="0" t="s">
        <v>181</v>
      </c>
      <c r="B34" s="56" t="n">
        <v>2405</v>
      </c>
      <c r="C34" s="0" t="n">
        <v>1.3</v>
      </c>
    </row>
    <row r="35" customFormat="false" ht="14.25" hidden="false" customHeight="false" outlineLevel="0" collapsed="false">
      <c r="A35" s="0" t="s">
        <v>594</v>
      </c>
      <c r="B35" s="56" t="n">
        <v>2600</v>
      </c>
      <c r="C35" s="0" t="n">
        <v>1.7</v>
      </c>
    </row>
    <row r="36" customFormat="false" ht="14.25" hidden="false" customHeight="false" outlineLevel="0" collapsed="false">
      <c r="A36" s="0" t="s">
        <v>451</v>
      </c>
      <c r="B36" s="56" t="n">
        <v>2666</v>
      </c>
      <c r="C36" s="0" t="n">
        <v>2.2</v>
      </c>
    </row>
    <row r="37" customFormat="false" ht="14.25" hidden="false" customHeight="false" outlineLevel="0" collapsed="false">
      <c r="A37" s="0" t="s">
        <v>595</v>
      </c>
      <c r="B37" s="56" t="n">
        <v>2879</v>
      </c>
      <c r="C37" s="0" t="n">
        <v>3.1</v>
      </c>
    </row>
    <row r="38" customFormat="false" ht="14.25" hidden="false" customHeight="false" outlineLevel="0" collapsed="false">
      <c r="A38" s="0" t="s">
        <v>105</v>
      </c>
      <c r="B38" s="56" t="n">
        <v>3099</v>
      </c>
      <c r="C38" s="0" t="n">
        <v>2.5</v>
      </c>
    </row>
    <row r="39" customFormat="false" ht="14.25" hidden="false" customHeight="false" outlineLevel="0" collapsed="false">
      <c r="A39" s="0" t="s">
        <v>437</v>
      </c>
      <c r="B39" s="56" t="n">
        <v>3105</v>
      </c>
      <c r="C39" s="0" t="n">
        <v>1.6</v>
      </c>
    </row>
    <row r="40" customFormat="false" ht="14.25" hidden="false" customHeight="false" outlineLevel="0" collapsed="false">
      <c r="A40" s="0" t="s">
        <v>241</v>
      </c>
      <c r="B40" s="56" t="n">
        <v>3151</v>
      </c>
      <c r="C40" s="0" t="n">
        <v>4.3</v>
      </c>
    </row>
    <row r="41" customFormat="false" ht="14.25" hidden="false" customHeight="false" outlineLevel="0" collapsed="false">
      <c r="A41" s="0" t="s">
        <v>59</v>
      </c>
      <c r="B41" s="56" t="n">
        <v>3254</v>
      </c>
      <c r="C41" s="0" t="n">
        <v>2.9</v>
      </c>
    </row>
    <row r="42" customFormat="false" ht="14.25" hidden="false" customHeight="false" outlineLevel="0" collapsed="false">
      <c r="A42" s="0" t="s">
        <v>353</v>
      </c>
      <c r="B42" s="56" t="n">
        <v>3309</v>
      </c>
      <c r="C42" s="0" t="n">
        <v>1.9</v>
      </c>
    </row>
    <row r="43" customFormat="false" ht="14.25" hidden="false" customHeight="false" outlineLevel="0" collapsed="false">
      <c r="A43" s="0" t="s">
        <v>449</v>
      </c>
      <c r="B43" s="56" t="n">
        <v>3326</v>
      </c>
      <c r="C43" s="0" t="n">
        <v>5</v>
      </c>
    </row>
    <row r="44" customFormat="false" ht="14.25" hidden="false" customHeight="false" outlineLevel="0" collapsed="false">
      <c r="A44" s="0" t="s">
        <v>295</v>
      </c>
      <c r="B44" s="56" t="n">
        <v>3457</v>
      </c>
      <c r="C44" s="0" t="n">
        <v>1.3</v>
      </c>
    </row>
    <row r="45" customFormat="false" ht="14.25" hidden="true" customHeight="false" outlineLevel="0" collapsed="false">
      <c r="A45" s="0" t="s">
        <v>117</v>
      </c>
      <c r="B45" s="56" t="n">
        <v>8621</v>
      </c>
      <c r="C45" s="2" t="s">
        <v>20</v>
      </c>
    </row>
    <row r="46" customFormat="false" ht="14.25" hidden="false" customHeight="false" outlineLevel="0" collapsed="false">
      <c r="A46" s="0" t="s">
        <v>87</v>
      </c>
      <c r="B46" s="56" t="n">
        <v>3581</v>
      </c>
      <c r="C46" s="0" t="n">
        <v>2.7</v>
      </c>
    </row>
    <row r="47" customFormat="false" ht="14.25" hidden="false" customHeight="false" outlineLevel="0" collapsed="false">
      <c r="A47" s="0" t="s">
        <v>389</v>
      </c>
      <c r="B47" s="56" t="n">
        <v>3829</v>
      </c>
      <c r="C47" s="0" t="n">
        <v>1.4</v>
      </c>
    </row>
    <row r="48" customFormat="false" ht="14.25" hidden="false" customHeight="false" outlineLevel="0" collapsed="false">
      <c r="A48" s="0" t="s">
        <v>349</v>
      </c>
      <c r="B48" s="56" t="n">
        <v>3952</v>
      </c>
      <c r="C48" s="0" t="n">
        <v>1.1</v>
      </c>
    </row>
    <row r="49" customFormat="false" ht="14.25" hidden="false" customHeight="false" outlineLevel="0" collapsed="false">
      <c r="A49" s="0" t="s">
        <v>399</v>
      </c>
      <c r="B49" s="56" t="n">
        <v>3954</v>
      </c>
      <c r="C49" s="0" t="n">
        <v>1.4</v>
      </c>
    </row>
    <row r="50" customFormat="false" ht="14.25" hidden="true" customHeight="false" outlineLevel="0" collapsed="false">
      <c r="A50" s="0" t="s">
        <v>129</v>
      </c>
      <c r="B50" s="56" t="n">
        <v>11884</v>
      </c>
      <c r="C50" s="2" t="s">
        <v>20</v>
      </c>
    </row>
    <row r="51" customFormat="false" ht="14.25" hidden="false" customHeight="false" outlineLevel="0" collapsed="false">
      <c r="A51" s="0" t="s">
        <v>596</v>
      </c>
      <c r="B51" s="56" t="n">
        <v>3983</v>
      </c>
      <c r="C51" s="0" t="n">
        <v>1.8</v>
      </c>
    </row>
    <row r="52" customFormat="false" ht="14.25" hidden="false" customHeight="false" outlineLevel="0" collapsed="false">
      <c r="A52" s="0" t="s">
        <v>221</v>
      </c>
      <c r="B52" s="56" t="n">
        <v>4244</v>
      </c>
      <c r="C52" s="0" t="n">
        <v>1.9</v>
      </c>
    </row>
    <row r="53" customFormat="false" ht="14.25" hidden="false" customHeight="false" outlineLevel="0" collapsed="false">
      <c r="A53" s="0" t="s">
        <v>323</v>
      </c>
      <c r="B53" s="56" t="n">
        <v>4301</v>
      </c>
      <c r="C53" s="0" t="n">
        <v>2</v>
      </c>
    </row>
    <row r="54" customFormat="false" ht="14.25" hidden="false" customHeight="false" outlineLevel="0" collapsed="false">
      <c r="A54" s="0" t="s">
        <v>405</v>
      </c>
      <c r="B54" s="56" t="n">
        <v>4440</v>
      </c>
      <c r="C54" s="0" t="n">
        <v>1.1</v>
      </c>
    </row>
    <row r="55" customFormat="false" ht="14.25" hidden="true" customHeight="false" outlineLevel="0" collapsed="false">
      <c r="A55" s="0" t="s">
        <v>139</v>
      </c>
      <c r="B55" s="56" t="n">
        <v>13944</v>
      </c>
      <c r="C55" s="2" t="s">
        <v>20</v>
      </c>
    </row>
    <row r="56" customFormat="false" ht="14.25" hidden="true" customHeight="false" outlineLevel="0" collapsed="false">
      <c r="A56" s="0" t="s">
        <v>141</v>
      </c>
      <c r="B56" s="56" t="n">
        <v>2793</v>
      </c>
      <c r="C56" s="2" t="s">
        <v>20</v>
      </c>
    </row>
    <row r="57" customFormat="false" ht="14.25" hidden="false" customHeight="false" outlineLevel="0" collapsed="false">
      <c r="A57" s="0" t="s">
        <v>597</v>
      </c>
      <c r="B57" s="56" t="n">
        <v>4864</v>
      </c>
      <c r="C57" s="0" t="n">
        <v>1</v>
      </c>
    </row>
    <row r="58" customFormat="false" ht="14.25" hidden="false" customHeight="false" outlineLevel="0" collapsed="false">
      <c r="A58" s="0" t="s">
        <v>307</v>
      </c>
      <c r="B58" s="56" t="n">
        <v>4910</v>
      </c>
      <c r="C58" s="0" t="n">
        <v>2.2</v>
      </c>
    </row>
    <row r="59" customFormat="false" ht="14.25" hidden="false" customHeight="false" outlineLevel="0" collapsed="false">
      <c r="A59" s="0" t="s">
        <v>289</v>
      </c>
      <c r="B59" s="56" t="n">
        <v>4961</v>
      </c>
      <c r="C59" s="0" t="n">
        <v>1.7</v>
      </c>
    </row>
    <row r="60" customFormat="false" ht="14.25" hidden="false" customHeight="false" outlineLevel="0" collapsed="false">
      <c r="A60" s="0" t="s">
        <v>49</v>
      </c>
      <c r="B60" s="56" t="n">
        <v>4976</v>
      </c>
      <c r="C60" s="0" t="n">
        <v>1.3</v>
      </c>
    </row>
    <row r="61" customFormat="false" ht="14.25" hidden="false" customHeight="false" outlineLevel="0" collapsed="false">
      <c r="A61" s="0" t="s">
        <v>317</v>
      </c>
      <c r="B61" s="56" t="n">
        <v>5005</v>
      </c>
      <c r="C61" s="0" t="n">
        <v>1.4</v>
      </c>
    </row>
    <row r="62" customFormat="false" ht="14.25" hidden="false" customHeight="false" outlineLevel="0" collapsed="false">
      <c r="A62" s="0" t="s">
        <v>598</v>
      </c>
      <c r="B62" s="56" t="n">
        <v>5069</v>
      </c>
      <c r="C62" s="0" t="n">
        <v>2</v>
      </c>
    </row>
    <row r="63" customFormat="false" ht="14.25" hidden="false" customHeight="false" outlineLevel="0" collapsed="false">
      <c r="A63" s="0" t="s">
        <v>269</v>
      </c>
      <c r="B63" s="56" t="n">
        <v>5135</v>
      </c>
      <c r="C63" s="0" t="n">
        <v>1.3</v>
      </c>
    </row>
    <row r="64" customFormat="false" ht="14.25" hidden="false" customHeight="false" outlineLevel="0" collapsed="false">
      <c r="A64" s="0" t="s">
        <v>167</v>
      </c>
      <c r="B64" s="56" t="n">
        <v>5269</v>
      </c>
      <c r="C64" s="0" t="n">
        <v>2.3</v>
      </c>
    </row>
    <row r="65" customFormat="false" ht="14.25" hidden="false" customHeight="false" outlineLevel="0" collapsed="false">
      <c r="A65" s="0" t="s">
        <v>303</v>
      </c>
      <c r="B65" s="56" t="n">
        <v>5284</v>
      </c>
      <c r="C65" s="0" t="n">
        <v>2.6</v>
      </c>
    </row>
    <row r="66" customFormat="false" ht="14.25" hidden="false" customHeight="false" outlineLevel="0" collapsed="false">
      <c r="A66" s="0" t="s">
        <v>189</v>
      </c>
      <c r="B66" s="56" t="n">
        <v>5308</v>
      </c>
      <c r="C66" s="0" t="n">
        <v>3.4</v>
      </c>
    </row>
    <row r="67" customFormat="false" ht="14.25" hidden="false" customHeight="false" outlineLevel="0" collapsed="false">
      <c r="A67" s="0" t="s">
        <v>127</v>
      </c>
      <c r="B67" s="56" t="n">
        <v>5689</v>
      </c>
      <c r="C67" s="0" t="n">
        <v>2</v>
      </c>
    </row>
    <row r="68" customFormat="false" ht="14.25" hidden="false" customHeight="false" outlineLevel="0" collapsed="false">
      <c r="A68" s="0" t="s">
        <v>29</v>
      </c>
      <c r="B68" s="56" t="n">
        <v>6104</v>
      </c>
      <c r="C68" s="0" t="n">
        <v>2.1</v>
      </c>
    </row>
    <row r="69" customFormat="false" ht="14.25" hidden="true" customHeight="false" outlineLevel="0" collapsed="false">
      <c r="A69" s="0" t="s">
        <v>175</v>
      </c>
      <c r="B69" s="56" t="n">
        <v>15641</v>
      </c>
      <c r="C69" s="2" t="s">
        <v>20</v>
      </c>
    </row>
    <row r="70" customFormat="false" ht="14.25" hidden="false" customHeight="false" outlineLevel="0" collapsed="false">
      <c r="A70" s="0" t="s">
        <v>421</v>
      </c>
      <c r="B70" s="56" t="n">
        <v>6132</v>
      </c>
      <c r="C70" s="0" t="n">
        <v>1.8</v>
      </c>
    </row>
    <row r="71" customFormat="false" ht="14.25" hidden="false" customHeight="false" outlineLevel="0" collapsed="false">
      <c r="A71" s="0" t="s">
        <v>345</v>
      </c>
      <c r="B71" s="56" t="n">
        <v>6309</v>
      </c>
      <c r="C71" s="0" t="n">
        <v>1.8</v>
      </c>
    </row>
    <row r="72" customFormat="false" ht="14.25" hidden="false" customHeight="false" outlineLevel="0" collapsed="false">
      <c r="A72" s="0" t="s">
        <v>409</v>
      </c>
      <c r="B72" s="56" t="n">
        <v>6365</v>
      </c>
      <c r="C72" s="0" t="n">
        <v>1.6</v>
      </c>
    </row>
    <row r="73" customFormat="false" ht="14.25" hidden="true" customHeight="false" outlineLevel="0" collapsed="false">
      <c r="A73" s="0" t="s">
        <v>185</v>
      </c>
      <c r="B73" s="56" t="n">
        <v>9455</v>
      </c>
      <c r="C73" s="2" t="s">
        <v>20</v>
      </c>
    </row>
    <row r="74" customFormat="false" ht="14.25" hidden="false" customHeight="false" outlineLevel="0" collapsed="false">
      <c r="A74" s="0" t="s">
        <v>599</v>
      </c>
      <c r="B74" s="56" t="n">
        <v>6417</v>
      </c>
      <c r="C74" s="0" t="n">
        <v>1.3</v>
      </c>
    </row>
    <row r="75" customFormat="false" ht="14.25" hidden="false" customHeight="false" outlineLevel="0" collapsed="false">
      <c r="A75" s="0" t="s">
        <v>197</v>
      </c>
      <c r="B75" s="56" t="n">
        <v>6681</v>
      </c>
      <c r="C75" s="0" t="n">
        <v>1.5</v>
      </c>
    </row>
    <row r="76" customFormat="false" ht="14.25" hidden="true" customHeight="false" outlineLevel="0" collapsed="false">
      <c r="A76" s="0" t="s">
        <v>600</v>
      </c>
      <c r="B76" s="56" t="n">
        <v>62985</v>
      </c>
      <c r="C76" s="2" t="s">
        <v>20</v>
      </c>
    </row>
    <row r="77" customFormat="false" ht="14.25" hidden="false" customHeight="false" outlineLevel="0" collapsed="false">
      <c r="A77" s="0" t="s">
        <v>83</v>
      </c>
      <c r="B77" s="56" t="n">
        <v>7019</v>
      </c>
      <c r="C77" s="0" t="n">
        <v>2.7</v>
      </c>
    </row>
    <row r="78" customFormat="false" ht="14.25" hidden="false" customHeight="false" outlineLevel="0" collapsed="false">
      <c r="A78" s="0" t="s">
        <v>285</v>
      </c>
      <c r="B78" s="56" t="n">
        <v>7368</v>
      </c>
      <c r="C78" s="0" t="n">
        <v>1.8</v>
      </c>
    </row>
    <row r="79" customFormat="false" ht="14.25" hidden="false" customHeight="false" outlineLevel="0" collapsed="false">
      <c r="A79" s="0" t="s">
        <v>601</v>
      </c>
      <c r="B79" s="56" t="n">
        <v>7413</v>
      </c>
      <c r="C79" s="0" t="n">
        <v>1.6</v>
      </c>
    </row>
    <row r="80" customFormat="false" ht="14.25" hidden="false" customHeight="false" outlineLevel="0" collapsed="false">
      <c r="A80" s="0" t="s">
        <v>602</v>
      </c>
      <c r="B80" s="56" t="n">
        <v>7433</v>
      </c>
      <c r="C80" s="0" t="n">
        <v>1.4</v>
      </c>
    </row>
    <row r="81" customFormat="false" ht="14.25" hidden="false" customHeight="false" outlineLevel="0" collapsed="false">
      <c r="A81" s="0" t="s">
        <v>603</v>
      </c>
      <c r="B81" s="56" t="n">
        <v>7919</v>
      </c>
      <c r="C81" s="0" t="n">
        <v>3.5</v>
      </c>
    </row>
    <row r="82" customFormat="false" ht="14.25" hidden="false" customHeight="false" outlineLevel="0" collapsed="false">
      <c r="A82" s="0" t="s">
        <v>137</v>
      </c>
      <c r="B82" s="56" t="n">
        <v>8359</v>
      </c>
      <c r="C82" s="0" t="n">
        <v>1.7</v>
      </c>
    </row>
    <row r="83" customFormat="false" ht="14.25" hidden="false" customHeight="false" outlineLevel="0" collapsed="false">
      <c r="A83" s="0" t="s">
        <v>179</v>
      </c>
      <c r="B83" s="56" t="n">
        <v>8494</v>
      </c>
      <c r="C83" s="0" t="n">
        <v>2.9</v>
      </c>
    </row>
    <row r="84" customFormat="false" ht="14.25" hidden="false" customHeight="false" outlineLevel="0" collapsed="false">
      <c r="A84" s="0" t="s">
        <v>604</v>
      </c>
      <c r="B84" s="56" t="n">
        <v>8554</v>
      </c>
      <c r="C84" s="0" t="n">
        <v>2.3</v>
      </c>
    </row>
    <row r="85" customFormat="false" ht="14.25" hidden="false" customHeight="false" outlineLevel="0" collapsed="false">
      <c r="A85" s="0" t="s">
        <v>291</v>
      </c>
      <c r="B85" s="56" t="n">
        <v>9357</v>
      </c>
      <c r="C85" s="0" t="n">
        <v>5.5</v>
      </c>
    </row>
    <row r="86" customFormat="false" ht="14.25" hidden="true" customHeight="false" outlineLevel="0" collapsed="false">
      <c r="A86" s="0" t="s">
        <v>213</v>
      </c>
      <c r="B86" s="56" t="n">
        <v>9319</v>
      </c>
      <c r="C86" s="2" t="s">
        <v>20</v>
      </c>
    </row>
    <row r="87" customFormat="false" ht="14.25" hidden="false" customHeight="false" outlineLevel="0" collapsed="false">
      <c r="A87" s="0" t="s">
        <v>329</v>
      </c>
      <c r="B87" s="56" t="n">
        <v>9778</v>
      </c>
      <c r="C87" s="0" t="n">
        <v>1.9</v>
      </c>
    </row>
    <row r="88" customFormat="false" ht="14.25" hidden="false" customHeight="false" outlineLevel="0" collapsed="false">
      <c r="A88" s="0" t="s">
        <v>217</v>
      </c>
      <c r="B88" s="56" t="n">
        <v>9858</v>
      </c>
      <c r="C88" s="0" t="n">
        <v>1.4</v>
      </c>
    </row>
    <row r="89" customFormat="false" ht="14.25" hidden="false" customHeight="false" outlineLevel="0" collapsed="false">
      <c r="A89" s="0" t="s">
        <v>413</v>
      </c>
      <c r="B89" s="56" t="n">
        <v>10414</v>
      </c>
      <c r="C89" s="0" t="n">
        <v>1.3</v>
      </c>
    </row>
    <row r="90" customFormat="false" ht="14.25" hidden="false" customHeight="false" outlineLevel="0" collapsed="false">
      <c r="A90" s="0" t="s">
        <v>63</v>
      </c>
      <c r="B90" s="56" t="n">
        <v>10746</v>
      </c>
      <c r="C90" s="0" t="n">
        <v>1.6</v>
      </c>
    </row>
    <row r="91" customFormat="false" ht="14.25" hidden="true" customHeight="false" outlineLevel="0" collapsed="false">
      <c r="A91" s="0" t="s">
        <v>223</v>
      </c>
      <c r="B91" s="56" t="n">
        <v>4260</v>
      </c>
      <c r="C91" s="2" t="s">
        <v>20</v>
      </c>
    </row>
    <row r="92" customFormat="false" ht="14.25" hidden="false" customHeight="false" outlineLevel="0" collapsed="false">
      <c r="A92" s="0" t="s">
        <v>203</v>
      </c>
      <c r="B92" s="56" t="n">
        <v>10801</v>
      </c>
      <c r="C92" s="0" t="n">
        <v>1.1</v>
      </c>
    </row>
    <row r="93" customFormat="false" ht="14.25" hidden="true" customHeight="false" outlineLevel="0" collapsed="false">
      <c r="A93" s="0" t="s">
        <v>231</v>
      </c>
      <c r="B93" s="56" t="n">
        <v>58590</v>
      </c>
      <c r="C93" s="2" t="s">
        <v>20</v>
      </c>
    </row>
    <row r="94" customFormat="false" ht="14.25" hidden="false" customHeight="false" outlineLevel="0" collapsed="false">
      <c r="A94" s="0" t="s">
        <v>281</v>
      </c>
      <c r="B94" s="56" t="n">
        <v>10839</v>
      </c>
      <c r="C94" s="0" t="n">
        <v>1.3</v>
      </c>
    </row>
    <row r="95" customFormat="false" ht="14.25" hidden="false" customHeight="false" outlineLevel="0" collapsed="false">
      <c r="A95" s="0" t="s">
        <v>133</v>
      </c>
      <c r="B95" s="56" t="n">
        <v>11044</v>
      </c>
      <c r="C95" s="0" t="n">
        <v>2.4</v>
      </c>
    </row>
    <row r="96" customFormat="false" ht="14.25" hidden="false" customHeight="false" outlineLevel="0" collapsed="false">
      <c r="A96" s="0" t="s">
        <v>23</v>
      </c>
      <c r="B96" s="56" t="n">
        <v>11174</v>
      </c>
      <c r="C96" s="0" t="n">
        <v>1</v>
      </c>
    </row>
    <row r="97" customFormat="false" ht="14.25" hidden="false" customHeight="false" outlineLevel="0" collapsed="false">
      <c r="A97" s="0" t="s">
        <v>199</v>
      </c>
      <c r="B97" s="56" t="n">
        <v>11459</v>
      </c>
      <c r="C97" s="0" t="n">
        <v>1.7</v>
      </c>
    </row>
    <row r="98" customFormat="false" ht="14.25" hidden="false" customHeight="false" outlineLevel="0" collapsed="false">
      <c r="A98" s="0" t="s">
        <v>605</v>
      </c>
      <c r="B98" s="56" t="n">
        <v>11466</v>
      </c>
      <c r="C98" s="0" t="n">
        <v>1.3</v>
      </c>
    </row>
    <row r="99" customFormat="false" ht="14.25" hidden="false" customHeight="false" outlineLevel="0" collapsed="false">
      <c r="A99" s="0" t="s">
        <v>373</v>
      </c>
      <c r="B99" s="56" t="n">
        <v>12129</v>
      </c>
      <c r="C99" s="0" t="n">
        <v>7</v>
      </c>
    </row>
    <row r="100" customFormat="false" ht="14.25" hidden="true" customHeight="false" outlineLevel="0" collapsed="false">
      <c r="A100" s="0" t="s">
        <v>245</v>
      </c>
      <c r="B100" s="56" t="n">
        <v>15688</v>
      </c>
      <c r="C100" s="2" t="s">
        <v>20</v>
      </c>
    </row>
    <row r="101" customFormat="false" ht="14.25" hidden="true" customHeight="false" outlineLevel="0" collapsed="false">
      <c r="A101" s="0" t="s">
        <v>247</v>
      </c>
      <c r="B101" s="56" t="n">
        <v>131032</v>
      </c>
      <c r="C101" s="2" t="s">
        <v>20</v>
      </c>
    </row>
    <row r="102" customFormat="false" ht="14.25" hidden="false" customHeight="false" outlineLevel="0" collapsed="false">
      <c r="A102" s="0" t="s">
        <v>325</v>
      </c>
      <c r="B102" s="56" t="n">
        <v>12224</v>
      </c>
      <c r="C102" s="0" t="n">
        <v>3</v>
      </c>
    </row>
    <row r="103" customFormat="false" ht="14.25" hidden="false" customHeight="false" outlineLevel="0" collapsed="false">
      <c r="A103" s="0" t="s">
        <v>327</v>
      </c>
      <c r="B103" s="56" t="n">
        <v>12252</v>
      </c>
      <c r="C103" s="0" t="n">
        <v>2.2</v>
      </c>
    </row>
    <row r="104" customFormat="false" ht="14.25" hidden="false" customHeight="false" outlineLevel="0" collapsed="false">
      <c r="A104" s="0" t="s">
        <v>606</v>
      </c>
      <c r="B104" s="56" t="n">
        <v>12447</v>
      </c>
      <c r="C104" s="0" t="n">
        <v>1.9</v>
      </c>
    </row>
    <row r="105" customFormat="false" ht="14.25" hidden="false" customHeight="false" outlineLevel="0" collapsed="false">
      <c r="A105" s="0" t="s">
        <v>379</v>
      </c>
      <c r="B105" s="56" t="n">
        <v>12707</v>
      </c>
      <c r="C105" s="0" t="n">
        <v>1.9</v>
      </c>
    </row>
    <row r="106" customFormat="false" ht="14.25" hidden="false" customHeight="false" outlineLevel="0" collapsed="false">
      <c r="A106" s="0" t="s">
        <v>151</v>
      </c>
      <c r="B106" s="56" t="n">
        <v>13009</v>
      </c>
      <c r="C106" s="0" t="n">
        <v>1.6</v>
      </c>
    </row>
    <row r="107" customFormat="false" ht="14.25" hidden="false" customHeight="false" outlineLevel="0" collapsed="false">
      <c r="A107" s="0" t="s">
        <v>425</v>
      </c>
      <c r="B107" s="56" t="n">
        <v>13216</v>
      </c>
      <c r="C107" s="0" t="n">
        <v>0.9</v>
      </c>
    </row>
    <row r="108" customFormat="false" ht="14.25" hidden="false" customHeight="false" outlineLevel="0" collapsed="false">
      <c r="A108" s="0" t="s">
        <v>607</v>
      </c>
      <c r="B108" s="56" t="n">
        <v>13664</v>
      </c>
      <c r="C108" s="0" t="n">
        <v>0.9</v>
      </c>
    </row>
    <row r="109" customFormat="false" ht="14.25" hidden="false" customHeight="false" outlineLevel="0" collapsed="false">
      <c r="A109" s="0" t="s">
        <v>35</v>
      </c>
      <c r="B109" s="56" t="n">
        <v>13894</v>
      </c>
      <c r="C109" s="0" t="n">
        <v>1.4</v>
      </c>
    </row>
    <row r="110" customFormat="false" ht="14.25" hidden="true" customHeight="false" outlineLevel="0" collapsed="false">
      <c r="A110" s="0" t="s">
        <v>267</v>
      </c>
      <c r="B110" s="56" t="n">
        <v>5039</v>
      </c>
      <c r="C110" s="2" t="s">
        <v>20</v>
      </c>
    </row>
    <row r="111" customFormat="false" ht="14.25" hidden="false" customHeight="false" outlineLevel="0" collapsed="false">
      <c r="A111" s="0" t="s">
        <v>159</v>
      </c>
      <c r="B111" s="56" t="n">
        <v>13930</v>
      </c>
      <c r="C111" s="0" t="n">
        <v>1.6</v>
      </c>
    </row>
    <row r="112" customFormat="false" ht="14.25" hidden="false" customHeight="false" outlineLevel="0" collapsed="false">
      <c r="A112" s="0" t="s">
        <v>21</v>
      </c>
      <c r="B112" s="56" t="n">
        <v>13998</v>
      </c>
      <c r="C112" s="0" t="n">
        <v>1</v>
      </c>
    </row>
    <row r="113" customFormat="false" ht="14.25" hidden="false" customHeight="false" outlineLevel="0" collapsed="false">
      <c r="A113" s="0" t="s">
        <v>103</v>
      </c>
      <c r="B113" s="56" t="n">
        <v>14257</v>
      </c>
      <c r="C113" s="0" t="n">
        <v>3.1</v>
      </c>
    </row>
    <row r="114" customFormat="false" ht="14.25" hidden="false" customHeight="false" outlineLevel="0" collapsed="false">
      <c r="A114" s="0" t="s">
        <v>71</v>
      </c>
      <c r="B114" s="56" t="n">
        <v>14263</v>
      </c>
      <c r="C114" s="0" t="n">
        <v>4</v>
      </c>
    </row>
    <row r="115" customFormat="false" ht="14.25" hidden="false" customHeight="false" outlineLevel="0" collapsed="false">
      <c r="A115" s="0" t="s">
        <v>163</v>
      </c>
      <c r="B115" s="56" t="n">
        <v>14429</v>
      </c>
      <c r="C115" s="0" t="n">
        <v>1.7</v>
      </c>
    </row>
    <row r="116" customFormat="false" ht="14.25" hidden="false" customHeight="false" outlineLevel="0" collapsed="false">
      <c r="A116" s="0" t="s">
        <v>608</v>
      </c>
      <c r="B116" s="56" t="n">
        <v>14616</v>
      </c>
      <c r="C116" s="0" t="n">
        <v>3.5</v>
      </c>
    </row>
    <row r="117" customFormat="false" ht="14.25" hidden="false" customHeight="false" outlineLevel="0" collapsed="false">
      <c r="A117" s="0" t="s">
        <v>239</v>
      </c>
      <c r="B117" s="56" t="n">
        <v>14655</v>
      </c>
      <c r="C117" s="0" t="n">
        <v>1.2</v>
      </c>
    </row>
    <row r="118" customFormat="false" ht="14.25" hidden="false" customHeight="false" outlineLevel="0" collapsed="false">
      <c r="A118" s="0" t="s">
        <v>67</v>
      </c>
      <c r="B118" s="56" t="n">
        <v>14872</v>
      </c>
      <c r="C118" s="0" t="n">
        <v>1.3</v>
      </c>
    </row>
    <row r="119" customFormat="false" ht="14.25" hidden="false" customHeight="false" outlineLevel="0" collapsed="false">
      <c r="A119" s="0" t="s">
        <v>309</v>
      </c>
      <c r="B119" s="56" t="n">
        <v>15865</v>
      </c>
      <c r="C119" s="0" t="n">
        <v>1.4</v>
      </c>
    </row>
    <row r="120" customFormat="false" ht="14.25" hidden="false" customHeight="false" outlineLevel="0" collapsed="false">
      <c r="A120" s="0" t="s">
        <v>101</v>
      </c>
      <c r="B120" s="56" t="n">
        <v>16057</v>
      </c>
      <c r="C120" s="0" t="n">
        <v>1.7</v>
      </c>
    </row>
    <row r="121" customFormat="false" ht="14.25" hidden="false" customHeight="false" outlineLevel="0" collapsed="false">
      <c r="A121" s="0" t="s">
        <v>69</v>
      </c>
      <c r="B121" s="56" t="n">
        <v>16437</v>
      </c>
      <c r="C121" s="0" t="n">
        <v>3.8</v>
      </c>
    </row>
    <row r="122" customFormat="false" ht="14.25" hidden="false" customHeight="false" outlineLevel="0" collapsed="false">
      <c r="A122" s="0" t="s">
        <v>355</v>
      </c>
      <c r="B122" s="56" t="n">
        <v>17192</v>
      </c>
      <c r="C122" s="0" t="n">
        <v>1</v>
      </c>
    </row>
    <row r="123" customFormat="false" ht="14.25" hidden="false" customHeight="false" outlineLevel="0" collapsed="false">
      <c r="A123" s="0" t="s">
        <v>261</v>
      </c>
      <c r="B123" s="56" t="n">
        <v>17417</v>
      </c>
      <c r="C123" s="0" t="n">
        <v>1.7</v>
      </c>
    </row>
    <row r="124" customFormat="false" ht="14.25" hidden="true" customHeight="false" outlineLevel="0" collapsed="false">
      <c r="A124" s="0" t="s">
        <v>301</v>
      </c>
      <c r="B124" s="56" t="n">
        <v>40799</v>
      </c>
      <c r="C124" s="2" t="s">
        <v>20</v>
      </c>
    </row>
    <row r="125" customFormat="false" ht="14.25" hidden="false" customHeight="false" outlineLevel="0" collapsed="false">
      <c r="A125" s="0" t="s">
        <v>131</v>
      </c>
      <c r="B125" s="56" t="n">
        <v>17591</v>
      </c>
      <c r="C125" s="0" t="n">
        <v>2.5</v>
      </c>
    </row>
    <row r="126" customFormat="false" ht="14.25" hidden="false" customHeight="false" outlineLevel="0" collapsed="false">
      <c r="A126" s="0" t="s">
        <v>403</v>
      </c>
      <c r="B126" s="56" t="n">
        <v>17781</v>
      </c>
      <c r="C126" s="0" t="n">
        <v>1.5</v>
      </c>
    </row>
    <row r="127" customFormat="false" ht="14.25" hidden="false" customHeight="false" outlineLevel="0" collapsed="false">
      <c r="A127" s="0" t="s">
        <v>111</v>
      </c>
      <c r="B127" s="56" t="n">
        <v>18486</v>
      </c>
      <c r="C127" s="0" t="n">
        <v>2.9</v>
      </c>
    </row>
    <row r="128" customFormat="false" ht="14.25" hidden="false" customHeight="false" outlineLevel="0" collapsed="false">
      <c r="A128" s="0" t="s">
        <v>53</v>
      </c>
      <c r="B128" s="56" t="n">
        <v>18546</v>
      </c>
      <c r="C128" s="0" t="n">
        <v>0.9</v>
      </c>
    </row>
    <row r="129" customFormat="false" ht="14.25" hidden="false" customHeight="false" outlineLevel="0" collapsed="false">
      <c r="A129" s="0" t="s">
        <v>273</v>
      </c>
      <c r="B129" s="56" t="n">
        <v>19160</v>
      </c>
      <c r="C129" s="0" t="n">
        <v>2.3</v>
      </c>
    </row>
    <row r="130" customFormat="false" ht="14.25" hidden="true" customHeight="false" outlineLevel="0" collapsed="false">
      <c r="A130" s="0" t="s">
        <v>315</v>
      </c>
      <c r="B130" s="56" t="n">
        <v>25944</v>
      </c>
      <c r="C130" s="2" t="s">
        <v>20</v>
      </c>
    </row>
    <row r="131" customFormat="false" ht="14.25" hidden="false" customHeight="false" outlineLevel="0" collapsed="false">
      <c r="A131" s="0" t="s">
        <v>433</v>
      </c>
      <c r="B131" s="56" t="n">
        <v>20064</v>
      </c>
      <c r="C131" s="0" t="n">
        <v>1.8</v>
      </c>
    </row>
    <row r="132" customFormat="false" ht="14.25" hidden="true" customHeight="false" outlineLevel="0" collapsed="false">
      <c r="A132" s="0" t="s">
        <v>319</v>
      </c>
      <c r="B132" s="56" t="n">
        <v>19317</v>
      </c>
      <c r="C132" s="2" t="s">
        <v>20</v>
      </c>
    </row>
    <row r="133" customFormat="false" ht="14.25" hidden="false" customHeight="false" outlineLevel="0" collapsed="false">
      <c r="A133" s="0" t="s">
        <v>33</v>
      </c>
      <c r="B133" s="56" t="n">
        <v>21190</v>
      </c>
      <c r="C133" s="0" t="n">
        <v>1.9</v>
      </c>
    </row>
    <row r="134" customFormat="false" ht="14.25" hidden="false" customHeight="false" outlineLevel="0" collapsed="false">
      <c r="A134" s="0" t="s">
        <v>283</v>
      </c>
      <c r="B134" s="56" t="n">
        <v>21399</v>
      </c>
      <c r="C134" s="0" t="n">
        <v>1.2</v>
      </c>
    </row>
    <row r="135" customFormat="false" ht="14.25" hidden="false" customHeight="false" outlineLevel="0" collapsed="false">
      <c r="A135" s="0" t="s">
        <v>219</v>
      </c>
      <c r="B135" s="56" t="n">
        <v>22857</v>
      </c>
      <c r="C135" s="0" t="n">
        <v>1</v>
      </c>
    </row>
    <row r="136" customFormat="false" ht="14.25" hidden="false" customHeight="false" outlineLevel="0" collapsed="false">
      <c r="A136" s="0" t="s">
        <v>99</v>
      </c>
      <c r="B136" s="56" t="n">
        <v>23261</v>
      </c>
      <c r="C136" s="0" t="n">
        <v>2.6</v>
      </c>
    </row>
    <row r="137" customFormat="false" ht="14.25" hidden="false" customHeight="false" outlineLevel="0" collapsed="false">
      <c r="A137" s="0" t="s">
        <v>77</v>
      </c>
      <c r="B137" s="56" t="n">
        <v>23325</v>
      </c>
      <c r="C137" s="0" t="n">
        <v>1.6</v>
      </c>
    </row>
    <row r="138" customFormat="false" ht="14.25" hidden="false" customHeight="false" outlineLevel="0" collapsed="false">
      <c r="A138" s="0" t="s">
        <v>271</v>
      </c>
      <c r="B138" s="56" t="n">
        <v>25266</v>
      </c>
      <c r="C138" s="0" t="n">
        <v>1.5</v>
      </c>
    </row>
    <row r="139" customFormat="false" ht="14.25" hidden="false" customHeight="false" outlineLevel="0" collapsed="false">
      <c r="A139" s="0" t="s">
        <v>341</v>
      </c>
      <c r="B139" s="56" t="n">
        <v>26157</v>
      </c>
      <c r="C139" s="0" t="n">
        <v>1.6</v>
      </c>
    </row>
    <row r="140" customFormat="false" ht="14.25" hidden="false" customHeight="false" outlineLevel="0" collapsed="false">
      <c r="A140" s="0" t="s">
        <v>357</v>
      </c>
      <c r="B140" s="56" t="n">
        <v>26903</v>
      </c>
      <c r="C140" s="0" t="n">
        <v>2.6</v>
      </c>
    </row>
    <row r="141" customFormat="false" ht="14.25" hidden="true" customHeight="false" outlineLevel="0" collapsed="false">
      <c r="A141" s="0" t="s">
        <v>337</v>
      </c>
      <c r="B141" s="56" t="n">
        <v>92418</v>
      </c>
      <c r="C141" s="2" t="s">
        <v>20</v>
      </c>
    </row>
    <row r="142" customFormat="false" ht="14.25" hidden="false" customHeight="false" outlineLevel="0" collapsed="false">
      <c r="A142" s="0" t="s">
        <v>259</v>
      </c>
      <c r="B142" s="56" t="n">
        <v>27534</v>
      </c>
      <c r="C142" s="0" t="n">
        <v>2</v>
      </c>
    </row>
    <row r="143" customFormat="false" ht="14.25" hidden="false" customHeight="false" outlineLevel="0" collapsed="false">
      <c r="A143" s="0" t="s">
        <v>415</v>
      </c>
      <c r="B143" s="56" t="n">
        <v>27701</v>
      </c>
      <c r="C143" s="0" t="n">
        <v>2.1</v>
      </c>
    </row>
    <row r="144" customFormat="false" ht="14.25" hidden="false" customHeight="false" outlineLevel="0" collapsed="false">
      <c r="A144" s="0" t="s">
        <v>115</v>
      </c>
      <c r="B144" s="56" t="n">
        <v>28070</v>
      </c>
      <c r="C144" s="0" t="n">
        <v>1.1</v>
      </c>
    </row>
    <row r="145" customFormat="false" ht="14.25" hidden="true" customHeight="false" outlineLevel="0" collapsed="false">
      <c r="A145" s="0" t="s">
        <v>609</v>
      </c>
      <c r="B145" s="56" t="n">
        <v>25038</v>
      </c>
      <c r="C145" s="2" t="s">
        <v>20</v>
      </c>
    </row>
    <row r="146" customFormat="false" ht="14.25" hidden="false" customHeight="false" outlineLevel="0" collapsed="false">
      <c r="A146" s="0" t="s">
        <v>339</v>
      </c>
      <c r="B146" s="56" t="n">
        <v>29497</v>
      </c>
      <c r="C146" s="0" t="n">
        <v>1.5</v>
      </c>
    </row>
    <row r="147" customFormat="false" ht="14.25" hidden="true" customHeight="false" outlineLevel="0" collapsed="false">
      <c r="A147" s="0" t="s">
        <v>610</v>
      </c>
      <c r="B147" s="56" t="n">
        <v>12378</v>
      </c>
      <c r="C147" s="2" t="s">
        <v>20</v>
      </c>
    </row>
    <row r="148" customFormat="false" ht="14.25" hidden="false" customHeight="false" outlineLevel="0" collapsed="false">
      <c r="A148" s="0" t="s">
        <v>321</v>
      </c>
      <c r="B148" s="56" t="n">
        <v>29558</v>
      </c>
      <c r="C148" s="0" t="n">
        <v>3.3</v>
      </c>
    </row>
    <row r="149" customFormat="false" ht="14.25" hidden="false" customHeight="false" outlineLevel="0" collapsed="false">
      <c r="A149" s="0" t="s">
        <v>171</v>
      </c>
      <c r="B149" s="56" t="n">
        <v>30155</v>
      </c>
      <c r="C149" s="0" t="n">
        <v>1.5</v>
      </c>
    </row>
    <row r="150" customFormat="false" ht="14.25" hidden="true" customHeight="false" outlineLevel="0" collapsed="false">
      <c r="A150" s="0" t="s">
        <v>351</v>
      </c>
      <c r="B150" s="56" t="n">
        <v>47495</v>
      </c>
      <c r="C150" s="2" t="s">
        <v>20</v>
      </c>
    </row>
    <row r="151" customFormat="false" ht="14.25" hidden="false" customHeight="false" outlineLevel="0" collapsed="false">
      <c r="A151" s="0" t="s">
        <v>237</v>
      </c>
      <c r="B151" s="56" t="n">
        <v>30282</v>
      </c>
      <c r="C151" s="0" t="n">
        <v>1.4</v>
      </c>
    </row>
    <row r="152" customFormat="false" ht="14.25" hidden="false" customHeight="false" outlineLevel="0" collapsed="false">
      <c r="A152" s="0" t="s">
        <v>193</v>
      </c>
      <c r="B152" s="56" t="n">
        <v>31329</v>
      </c>
      <c r="C152" s="0" t="n">
        <v>1.1</v>
      </c>
    </row>
    <row r="153" customFormat="false" ht="14.25" hidden="false" customHeight="false" outlineLevel="0" collapsed="false">
      <c r="A153" s="0" t="s">
        <v>331</v>
      </c>
      <c r="B153" s="56" t="n">
        <v>31623</v>
      </c>
      <c r="C153" s="0" t="n">
        <v>1.1</v>
      </c>
    </row>
    <row r="154" customFormat="false" ht="14.25" hidden="false" customHeight="false" outlineLevel="0" collapsed="false">
      <c r="A154" s="0" t="s">
        <v>611</v>
      </c>
      <c r="B154" s="56" t="n">
        <v>32113</v>
      </c>
      <c r="C154" s="0" t="n">
        <v>0.9</v>
      </c>
    </row>
    <row r="155" customFormat="false" ht="14.25" hidden="true" customHeight="false" outlineLevel="0" collapsed="false">
      <c r="A155" s="0" t="s">
        <v>361</v>
      </c>
      <c r="B155" s="56" t="n">
        <v>88155</v>
      </c>
      <c r="C155" s="2" t="s">
        <v>20</v>
      </c>
    </row>
    <row r="156" customFormat="false" ht="14.25" hidden="false" customHeight="false" outlineLevel="0" collapsed="false">
      <c r="A156" s="0" t="s">
        <v>333</v>
      </c>
      <c r="B156" s="56" t="n">
        <v>33967</v>
      </c>
      <c r="C156" s="0" t="n">
        <v>1.5</v>
      </c>
    </row>
    <row r="157" customFormat="false" ht="14.25" hidden="false" customHeight="false" outlineLevel="0" collapsed="false">
      <c r="A157" s="0" t="s">
        <v>249</v>
      </c>
      <c r="B157" s="56" t="n">
        <v>35799</v>
      </c>
      <c r="C157" s="0" t="n">
        <v>1.6</v>
      </c>
    </row>
    <row r="158" customFormat="false" ht="14.25" hidden="false" customHeight="false" outlineLevel="0" collapsed="false">
      <c r="A158" s="0" t="s">
        <v>143</v>
      </c>
      <c r="B158" s="56" t="n">
        <v>36019</v>
      </c>
      <c r="C158" s="0" t="n">
        <v>1.2</v>
      </c>
    </row>
    <row r="159" customFormat="false" ht="14.25" hidden="false" customHeight="false" outlineLevel="0" collapsed="false">
      <c r="A159" s="0" t="s">
        <v>367</v>
      </c>
      <c r="B159" s="56" t="n">
        <v>38080</v>
      </c>
      <c r="C159" s="0" t="n">
        <v>0.9</v>
      </c>
    </row>
    <row r="160" customFormat="false" ht="14.25" hidden="false" customHeight="false" outlineLevel="0" collapsed="false">
      <c r="A160" s="0" t="s">
        <v>612</v>
      </c>
      <c r="B160" s="56" t="n">
        <v>38109</v>
      </c>
      <c r="C160" s="0" t="n">
        <v>0.9</v>
      </c>
    </row>
    <row r="161" customFormat="false" ht="14.25" hidden="false" customHeight="false" outlineLevel="0" collapsed="false">
      <c r="A161" s="0" t="s">
        <v>121</v>
      </c>
      <c r="B161" s="56" t="n">
        <v>38207</v>
      </c>
      <c r="C161" s="0" t="n">
        <v>1.4</v>
      </c>
    </row>
    <row r="162" customFormat="false" ht="14.25" hidden="false" customHeight="false" outlineLevel="0" collapsed="false">
      <c r="A162" s="0" t="s">
        <v>265</v>
      </c>
      <c r="B162" s="56" t="n">
        <v>39555</v>
      </c>
      <c r="C162" s="0" t="n">
        <v>1.1</v>
      </c>
    </row>
    <row r="163" customFormat="false" ht="14.25" hidden="false" customHeight="false" outlineLevel="0" collapsed="false">
      <c r="A163" s="0" t="s">
        <v>209</v>
      </c>
      <c r="B163" s="56" t="n">
        <v>40187</v>
      </c>
      <c r="C163" s="0" t="n">
        <v>1.7</v>
      </c>
    </row>
    <row r="164" customFormat="false" ht="14.25" hidden="true" customHeight="false" outlineLevel="0" collapsed="false">
      <c r="A164" s="0" t="s">
        <v>391</v>
      </c>
      <c r="B164" s="56" t="n">
        <v>14324</v>
      </c>
      <c r="C164" s="2" t="s">
        <v>20</v>
      </c>
    </row>
    <row r="165" customFormat="false" ht="14.25" hidden="false" customHeight="false" outlineLevel="0" collapsed="false">
      <c r="A165" s="0" t="s">
        <v>377</v>
      </c>
      <c r="B165" s="56" t="n">
        <v>40975</v>
      </c>
      <c r="C165" s="0" t="n">
        <v>1.5</v>
      </c>
    </row>
    <row r="166" customFormat="false" ht="14.25" hidden="false" customHeight="false" outlineLevel="0" collapsed="false">
      <c r="A166" s="0" t="s">
        <v>211</v>
      </c>
      <c r="B166" s="56" t="n">
        <v>42776</v>
      </c>
      <c r="C166" s="0" t="n">
        <v>1.4</v>
      </c>
    </row>
    <row r="167" customFormat="false" ht="14.25" hidden="true" customHeight="false" outlineLevel="0" collapsed="false">
      <c r="A167" s="0" t="s">
        <v>397</v>
      </c>
      <c r="B167" s="56" t="n">
        <v>3613</v>
      </c>
      <c r="C167" s="2" t="s">
        <v>20</v>
      </c>
    </row>
    <row r="168" customFormat="false" ht="14.25" hidden="false" customHeight="false" outlineLevel="0" collapsed="false">
      <c r="A168" s="0" t="s">
        <v>215</v>
      </c>
      <c r="B168" s="56" t="n">
        <v>42932</v>
      </c>
      <c r="C168" s="0" t="n">
        <v>1.2</v>
      </c>
    </row>
    <row r="169" customFormat="false" ht="14.25" hidden="false" customHeight="false" outlineLevel="0" collapsed="false">
      <c r="A169" s="0" t="s">
        <v>613</v>
      </c>
      <c r="B169" s="56" t="n">
        <v>43044</v>
      </c>
      <c r="C169" s="0" t="n">
        <v>1.2</v>
      </c>
    </row>
    <row r="170" customFormat="false" ht="14.25" hidden="false" customHeight="false" outlineLevel="0" collapsed="false">
      <c r="A170" s="0" t="s">
        <v>429</v>
      </c>
      <c r="B170" s="56" t="n">
        <v>46071</v>
      </c>
      <c r="C170" s="0" t="n">
        <v>1.3</v>
      </c>
    </row>
    <row r="171" customFormat="false" ht="14.25" hidden="false" customHeight="false" outlineLevel="0" collapsed="false">
      <c r="A171" s="0" t="s">
        <v>155</v>
      </c>
      <c r="B171" s="56" t="n">
        <v>47173</v>
      </c>
      <c r="C171" s="0" t="n">
        <v>1.3</v>
      </c>
    </row>
    <row r="172" customFormat="false" ht="14.25" hidden="false" customHeight="false" outlineLevel="0" collapsed="false">
      <c r="A172" s="0" t="s">
        <v>39</v>
      </c>
      <c r="B172" s="56" t="n">
        <v>48085</v>
      </c>
      <c r="C172" s="0" t="n">
        <v>1.5</v>
      </c>
    </row>
    <row r="173" customFormat="false" ht="14.25" hidden="false" customHeight="false" outlineLevel="0" collapsed="false">
      <c r="A173" s="0" t="s">
        <v>153</v>
      </c>
      <c r="B173" s="56" t="n">
        <v>48511</v>
      </c>
      <c r="C173" s="0" t="n">
        <v>1</v>
      </c>
    </row>
    <row r="174" customFormat="false" ht="14.25" hidden="true" customHeight="false" outlineLevel="0" collapsed="false">
      <c r="A174" s="0" t="s">
        <v>411</v>
      </c>
      <c r="B174" s="56" t="n">
        <v>26231</v>
      </c>
      <c r="C174" s="2" t="s">
        <v>20</v>
      </c>
    </row>
    <row r="175" customFormat="false" ht="14.25" hidden="false" customHeight="false" outlineLevel="0" collapsed="false">
      <c r="A175" s="0" t="s">
        <v>89</v>
      </c>
      <c r="B175" s="56" t="n">
        <v>48527</v>
      </c>
      <c r="C175" s="0" t="n">
        <v>1.3</v>
      </c>
    </row>
    <row r="176" customFormat="false" ht="14.25" hidden="false" customHeight="false" outlineLevel="0" collapsed="false">
      <c r="A176" s="0" t="s">
        <v>55</v>
      </c>
      <c r="B176" s="56" t="n">
        <v>52085</v>
      </c>
      <c r="C176" s="0" t="n">
        <v>1</v>
      </c>
    </row>
    <row r="177" customFormat="false" ht="14.25" hidden="true" customHeight="false" outlineLevel="0" collapsed="false">
      <c r="A177" s="0" t="s">
        <v>417</v>
      </c>
      <c r="B177" s="56" t="n">
        <v>14909</v>
      </c>
      <c r="C177" s="2" t="s">
        <v>20</v>
      </c>
    </row>
    <row r="178" customFormat="false" ht="14.25" hidden="false" customHeight="false" outlineLevel="0" collapsed="false">
      <c r="A178" s="0" t="s">
        <v>393</v>
      </c>
      <c r="B178" s="56" t="n">
        <v>54508</v>
      </c>
      <c r="C178" s="0" t="n">
        <v>1</v>
      </c>
    </row>
    <row r="179" customFormat="false" ht="14.25" hidden="false" customHeight="false" outlineLevel="0" collapsed="false">
      <c r="A179" s="0" t="s">
        <v>195</v>
      </c>
      <c r="B179" s="56" t="n">
        <v>54682</v>
      </c>
      <c r="C179" s="0" t="n">
        <v>1</v>
      </c>
    </row>
    <row r="180" customFormat="false" ht="14.25" hidden="false" customHeight="false" outlineLevel="0" collapsed="false">
      <c r="A180" s="0" t="s">
        <v>165</v>
      </c>
      <c r="B180" s="56" t="n">
        <v>55314</v>
      </c>
      <c r="C180" s="0" t="n">
        <v>1.2</v>
      </c>
    </row>
    <row r="181" customFormat="false" ht="14.25" hidden="true" customHeight="false" outlineLevel="0" collapsed="false">
      <c r="A181" s="0" t="s">
        <v>427</v>
      </c>
      <c r="B181" s="56" t="n">
        <v>67462</v>
      </c>
      <c r="C181" s="2" t="s">
        <v>20</v>
      </c>
    </row>
    <row r="182" customFormat="false" ht="14.25" hidden="false" customHeight="false" outlineLevel="0" collapsed="false">
      <c r="A182" s="0" t="s">
        <v>41</v>
      </c>
      <c r="B182" s="56" t="n">
        <v>56197</v>
      </c>
      <c r="C182" s="0" t="n">
        <v>1.1</v>
      </c>
    </row>
    <row r="183" customFormat="false" ht="14.25" hidden="false" customHeight="false" outlineLevel="0" collapsed="false">
      <c r="A183" s="0" t="s">
        <v>297</v>
      </c>
      <c r="B183" s="56" t="n">
        <v>57707</v>
      </c>
      <c r="C183" s="0" t="n">
        <v>1</v>
      </c>
    </row>
    <row r="184" customFormat="false" ht="14.25" hidden="false" customHeight="false" outlineLevel="0" collapsed="false">
      <c r="A184" s="0" t="s">
        <v>125</v>
      </c>
      <c r="B184" s="56" t="n">
        <v>58662</v>
      </c>
      <c r="C184" s="0" t="n">
        <v>1</v>
      </c>
    </row>
    <row r="185" customFormat="false" ht="14.25" hidden="true" customHeight="false" outlineLevel="0" collapsed="false">
      <c r="A185" s="0" t="s">
        <v>435</v>
      </c>
      <c r="B185" s="56" t="n">
        <v>7142</v>
      </c>
      <c r="C185" s="2" t="s">
        <v>20</v>
      </c>
    </row>
    <row r="186" customFormat="false" ht="14.25" hidden="false" customHeight="false" outlineLevel="0" collapsed="false">
      <c r="A186" s="0" t="s">
        <v>431</v>
      </c>
      <c r="B186" s="56" t="n">
        <v>63826</v>
      </c>
      <c r="C186" s="0" t="n">
        <v>2</v>
      </c>
    </row>
    <row r="187" customFormat="false" ht="14.25" hidden="true" customHeight="false" outlineLevel="0" collapsed="false">
      <c r="A187" s="0" t="s">
        <v>614</v>
      </c>
      <c r="B187" s="56" t="n">
        <v>7045</v>
      </c>
      <c r="C187" s="2" t="s">
        <v>20</v>
      </c>
    </row>
    <row r="188" customFormat="false" ht="14.25" hidden="false" customHeight="false" outlineLevel="0" collapsed="false">
      <c r="A188" s="0" t="s">
        <v>313</v>
      </c>
      <c r="B188" s="56" t="n">
        <v>66494</v>
      </c>
      <c r="C188" s="0" t="n">
        <v>1</v>
      </c>
    </row>
    <row r="189" customFormat="false" ht="14.25" hidden="false" customHeight="false" outlineLevel="0" collapsed="false">
      <c r="A189" s="0" t="s">
        <v>205</v>
      </c>
      <c r="B189" s="56" t="n">
        <v>68371</v>
      </c>
      <c r="C189" s="0" t="n">
        <v>1.2</v>
      </c>
    </row>
    <row r="190" customFormat="false" ht="14.25" hidden="false" customHeight="false" outlineLevel="0" collapsed="false">
      <c r="A190" s="0" t="s">
        <v>395</v>
      </c>
      <c r="B190" s="56" t="n">
        <v>69394</v>
      </c>
      <c r="C190" s="0" t="n">
        <v>1.2</v>
      </c>
    </row>
    <row r="191" customFormat="false" ht="14.25" hidden="false" customHeight="false" outlineLevel="0" collapsed="false">
      <c r="A191" s="0" t="s">
        <v>251</v>
      </c>
      <c r="B191" s="56" t="n">
        <v>72712</v>
      </c>
      <c r="C191" s="0" t="n">
        <v>1.3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8.55078125" defaultRowHeight="14.25" zeroHeight="false" outlineLevelRow="0" outlineLevelCol="0"/>
  <sheetData>
    <row r="1" customFormat="false" ht="14.25" hidden="false" customHeight="false" outlineLevel="0" collapsed="false">
      <c r="B1" s="0" t="s">
        <v>615</v>
      </c>
    </row>
    <row r="2" customFormat="false" ht="14.25" hidden="false" customHeight="false" outlineLevel="0" collapsed="false">
      <c r="B2" s="0" t="s">
        <v>616</v>
      </c>
    </row>
    <row r="3" customFormat="false" ht="16.4" hidden="false" customHeight="false" outlineLevel="0" collapsed="false">
      <c r="B3" s="57" t="s">
        <v>617</v>
      </c>
    </row>
    <row r="4" customFormat="false" ht="14.25" hidden="false" customHeight="false" outlineLevel="0" collapsed="false">
      <c r="B4" s="0" t="s">
        <v>618</v>
      </c>
    </row>
  </sheetData>
  <hyperlinks>
    <hyperlink ref="B3" r:id="rId1" display="https://databank.worldbank.org/reports.aspx?source=2&amp;series=NY.GNP.PCAP.PP.CD&amp;country=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2021-09-26T06:02:33Z</dcterms:created>
  <dc:creator>Pi-ce</dc:creator>
  <dc:description/>
  <dc:language>en-IN</dc:language>
  <cp:lastModifiedBy/>
  <dcterms:modified xsi:type="dcterms:W3CDTF">2026-03-10T12:35:14Z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